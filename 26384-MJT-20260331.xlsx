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 perforated G16 PC" sheetId="1" r:id="rId4"/>
    <sheet state="visible" name="G18 PC" sheetId="2" r:id="rId5"/>
    <sheet state="visible" name="G16 PC" sheetId="3" r:id="rId6"/>
    <sheet state="visible" name="SHEET" sheetId="4" r:id="rId7"/>
    <sheet state="hidden" name="SUMMARY" sheetId="5" r:id="rId8"/>
    <sheet state="hidden" name="BOM" sheetId="6" r:id="rId9"/>
  </sheets>
  <definedNames>
    <definedName name="Excel_BuiltIn_Print_Area_0">#REF!</definedName>
  </definedNames>
  <calcPr/>
  <extLst>
    <ext uri="GoogleSheetsCustomDataVersion2">
      <go:sheetsCustomData xmlns:go="http://customooxmlschemas.google.com/" r:id="rId10" roundtripDataChecksum="6WYktLgUsDHCg6WwyzQI4S1isEf8ctog80ibVKF9Dy0="/>
    </ext>
  </extLst>
</workbook>
</file>

<file path=xl/sharedStrings.xml><?xml version="1.0" encoding="utf-8"?>
<sst xmlns="http://schemas.openxmlformats.org/spreadsheetml/2006/main" count="636" uniqueCount="311">
  <si>
    <t>Date:</t>
  </si>
  <si>
    <r>
      <rPr>
        <rFont val="Arial Narrow"/>
        <i/>
        <color theme="1"/>
        <sz val="10.0"/>
      </rPr>
      <t>(An Affiliate of</t>
    </r>
    <r>
      <rPr>
        <rFont val="Arial Narrow"/>
        <i/>
        <color rgb="FF003366"/>
        <sz val="10.0"/>
      </rPr>
      <t xml:space="preserve"> </t>
    </r>
    <r>
      <rPr>
        <rFont val="Arial Narrow"/>
        <b/>
        <i/>
        <color rgb="FF003366"/>
        <sz val="10.0"/>
      </rPr>
      <t>SCHWER ENGINEERING SERVICES AND SUPPLIES)</t>
    </r>
  </si>
  <si>
    <t>SPMC Reference:</t>
  </si>
  <si>
    <t>26384-MJT-20260331</t>
  </si>
  <si>
    <t>NOTE:</t>
  </si>
  <si>
    <t xml:space="preserve">Telefax: </t>
  </si>
  <si>
    <t>Customer Reference:</t>
  </si>
  <si>
    <t>Updated metal sheet price</t>
  </si>
  <si>
    <t>Perforation cost applied</t>
  </si>
  <si>
    <t>To:</t>
  </si>
  <si>
    <t>:</t>
  </si>
  <si>
    <t xml:space="preserve">JQ INTERNATIONAL </t>
  </si>
  <si>
    <t>Tel:</t>
  </si>
  <si>
    <t>(02) 8280 0019</t>
  </si>
  <si>
    <t>Fax:</t>
  </si>
  <si>
    <t>8856-1744</t>
  </si>
  <si>
    <t>Attention</t>
  </si>
  <si>
    <t>Title</t>
  </si>
  <si>
    <t>Subject</t>
  </si>
  <si>
    <t>RFQ - CABLE TRAY</t>
  </si>
  <si>
    <t># OF MONTHS</t>
  </si>
  <si>
    <t>Q U O T A T I O N</t>
  </si>
  <si>
    <t>MARKUP%</t>
  </si>
  <si>
    <t>INTEREST</t>
  </si>
  <si>
    <t>SOP</t>
  </si>
  <si>
    <t>COST COMPUTATION</t>
  </si>
  <si>
    <t>We are pleased to submit our offer for the specification of your requirements as follows:</t>
  </si>
  <si>
    <t>Item</t>
  </si>
  <si>
    <t>Description</t>
  </si>
  <si>
    <t>Quantity</t>
  </si>
  <si>
    <t>Unit Price</t>
  </si>
  <si>
    <t>Total Price</t>
  </si>
  <si>
    <t>TP/Labor</t>
  </si>
  <si>
    <t>TOTAL DIRECT+INDIRECT COST</t>
  </si>
  <si>
    <t>DEL FEE</t>
  </si>
  <si>
    <t>TOTAL DIRECT+INDIRECT COST+del fee
(DIRECT*QTY*)</t>
  </si>
  <si>
    <t>SELLING VATINC PER QTY</t>
  </si>
  <si>
    <t>MARGIN AMOUNT VATEX PER QTY</t>
  </si>
  <si>
    <t>SELLING VATINC PER UNIT</t>
  </si>
  <si>
    <t>MARGIN AMOUNT VATEX PER UNIT</t>
  </si>
  <si>
    <t>VAT OF MARGIN AMOUNT PER UNIT</t>
  </si>
  <si>
    <t>VAT OF MARGIN AMOUNT PER QTY</t>
  </si>
  <si>
    <t>SPMC SELLING UNIT PRICE</t>
  </si>
  <si>
    <t>SPMC SELLING TOTAL PRICE</t>
  </si>
  <si>
    <t>SPMC MARGIN %</t>
  </si>
  <si>
    <t>VAT OF INT AMOUNT</t>
  </si>
  <si>
    <t>INT W/O VAT</t>
  </si>
  <si>
    <t>INT TOTAL W/ VAT</t>
  </si>
  <si>
    <t>SOP/TPC</t>
  </si>
  <si>
    <t>VAT OF SOP AMOUNT</t>
  </si>
  <si>
    <t>SOP W/O VAT</t>
  </si>
  <si>
    <t>SOP TOTAL W/ VAT</t>
  </si>
  <si>
    <t>PERFORATED CABLE TRAY WITH COVER</t>
  </si>
  <si>
    <t>assy</t>
  </si>
  <si>
    <t>with complete accessories</t>
  </si>
  <si>
    <t>Dimension: 200mmW x 120mmD x 2400mmL</t>
  </si>
  <si>
    <t>G.I. Sheet Gauge 16, Powder coated (wrinkled gray) finish</t>
  </si>
  <si>
    <t>*************NOTHING FOLLOWS*******************</t>
  </si>
  <si>
    <t>SPMC SELLING</t>
  </si>
  <si>
    <t>TOTAL SOP</t>
  </si>
  <si>
    <t>MAT COST</t>
  </si>
  <si>
    <t>OPEX</t>
  </si>
  <si>
    <t>TOTAL COST</t>
  </si>
  <si>
    <t>TOTAL SELLING PRICE (PHP)</t>
  </si>
  <si>
    <r>
      <rPr>
        <rFont val="Arial"/>
        <b/>
        <color theme="1"/>
        <sz val="10.0"/>
      </rPr>
      <t xml:space="preserve">All Items not specified in this proposal are </t>
    </r>
    <r>
      <rPr>
        <rFont val="Arial"/>
        <b/>
        <color rgb="FFFF0000"/>
        <sz val="10.0"/>
      </rPr>
      <t>NOT INCLUDED</t>
    </r>
    <r>
      <rPr>
        <rFont val="Arial"/>
        <b/>
        <color theme="1"/>
        <sz val="10.0"/>
      </rPr>
      <t xml:space="preserve"> in this offer. If there is any conflicts, or difference between the above</t>
    </r>
  </si>
  <si>
    <t>quote and the customer documents, the discrepancies will be verified, and our quotation will be revised based on the</t>
  </si>
  <si>
    <t>received new information and documents.</t>
  </si>
  <si>
    <t>G.I #16 (1.5mm)</t>
  </si>
  <si>
    <t>UPDATED AS OF APRIL 6</t>
  </si>
  <si>
    <t>G.I #18 (1.2mm)</t>
  </si>
  <si>
    <t>Notes</t>
  </si>
  <si>
    <t xml:space="preserve">Above prices are 12% VAT Inclusive </t>
  </si>
  <si>
    <t>LABOR</t>
  </si>
  <si>
    <t>Delivery</t>
  </si>
  <si>
    <t>Free delivery within Metro Manila</t>
  </si>
  <si>
    <t>Leadtime/Availability</t>
  </si>
  <si>
    <t>2 - 3 Weeks upon receipt of valid P.O, downpayment, and approved shop drawing with partial delivery allowed</t>
  </si>
  <si>
    <t>Payment Terms</t>
  </si>
  <si>
    <t>50% Downpayment, 50% Before Delivery</t>
  </si>
  <si>
    <t>Should the Client default in respect of any payment due</t>
  </si>
  <si>
    <t>the Supplier shall have the right, in addition to, and without prejudice to all other rights to which it is entitled at law, to retain</t>
  </si>
  <si>
    <t>possession of Goods, to suspend performance of Services, and to charge interest of two (2%) percent monthly of the overdue amount.</t>
  </si>
  <si>
    <t>Cancellation 
Clause</t>
  </si>
  <si>
    <t>In case of order cancellation for the convenience by the customer, the following rates apply:</t>
  </si>
  <si>
    <t>- 20% of total contract price upon acceptance of order</t>
  </si>
  <si>
    <t>- 30% of total contract price upon submission of drawings for approval</t>
  </si>
  <si>
    <t>- 50% of total contract after receipt of approved drawings</t>
  </si>
  <si>
    <t>- 80% of total contract price five (5) working days after the receipt of approved drawings</t>
  </si>
  <si>
    <t>- 100% of total contract price during and completion of manufacturing. No cancellation allowed.</t>
  </si>
  <si>
    <t>Validity</t>
  </si>
  <si>
    <t>This Proposal is valid for Fifteen (15) Days from above date</t>
  </si>
  <si>
    <t>Liability Statement</t>
  </si>
  <si>
    <t>In no event shall Schwer Power Manufacturing Corp. be liable for any direct, indirect, incidental, special or consequential damages</t>
  </si>
  <si>
    <t>arising out or connected with the use, misuse, modification or alteration of the item or product supplied. Nor shall SPMC be</t>
  </si>
  <si>
    <t>charged for late deliveries, penalties, fines, expenses or damages as a result of any contract agreements between purchase and</t>
  </si>
  <si>
    <t>any other party. The company's liability shall in no case exceed the unit price of any defective item or product.</t>
  </si>
  <si>
    <t xml:space="preserve">In case of order cancellation, a minimum charge of 20% of the total contract amount will be applied from the date of order receipt </t>
  </si>
  <si>
    <t>The cancellation charge shall be increased linearly up to 100% of the total contract price one month prior to scheduled delivery.</t>
  </si>
  <si>
    <t>We hope that our offer satisfy your requirements and we are looking forward to be of service to your company.</t>
  </si>
  <si>
    <t>Very Truly yours,</t>
  </si>
  <si>
    <t>Schwer Power Manufacturing Corp.</t>
  </si>
  <si>
    <t>Meccah J. Torregoza</t>
  </si>
  <si>
    <t>Sales Executive</t>
  </si>
  <si>
    <t>Mobile No.: 09171673810</t>
  </si>
  <si>
    <t>Email:</t>
  </si>
  <si>
    <t>m.torregoza@schwer-ph.com</t>
  </si>
  <si>
    <t>JDG NEW FORMAT</t>
  </si>
  <si>
    <t>FO-59 (6 AUGUST 2025)</t>
  </si>
  <si>
    <t>M</t>
  </si>
  <si>
    <r>
      <rPr>
        <rFont val="Arial Narrow"/>
        <i/>
        <color theme="1"/>
        <sz val="10.0"/>
      </rPr>
      <t>(An Affiliate of</t>
    </r>
    <r>
      <rPr>
        <rFont val="Arial Narrow"/>
        <i/>
        <color rgb="FF003366"/>
        <sz val="10.0"/>
      </rPr>
      <t xml:space="preserve"> </t>
    </r>
    <r>
      <rPr>
        <rFont val="Arial Narrow"/>
        <b/>
        <i/>
        <color rgb="FF003366"/>
        <sz val="10.0"/>
      </rPr>
      <t>SCHWER ENGINEERING SERVICES AND SUPPLIES)</t>
    </r>
  </si>
  <si>
    <t>CABLE TRAY WITH COVER</t>
  </si>
  <si>
    <t>G.I. Sheet Gauge 18, Powder coated (wrinkled gray) finish</t>
  </si>
  <si>
    <r>
      <rPr>
        <rFont val="Arial"/>
        <b/>
        <color theme="1"/>
        <sz val="10.0"/>
      </rPr>
      <t xml:space="preserve">All Items not specified in this proposal are </t>
    </r>
    <r>
      <rPr>
        <rFont val="Arial"/>
        <b/>
        <color rgb="FFFF0000"/>
        <sz val="10.0"/>
      </rPr>
      <t>NOT INCLUDED</t>
    </r>
    <r>
      <rPr>
        <rFont val="Arial"/>
        <b/>
        <color theme="1"/>
        <sz val="10.0"/>
      </rPr>
      <t xml:space="preserve"> in this offer. If there is any conflicts, or difference between the above</t>
    </r>
  </si>
  <si>
    <t>G.I #16</t>
  </si>
  <si>
    <t>G.I #18</t>
  </si>
  <si>
    <r>
      <rPr>
        <rFont val="Arial Narrow"/>
        <i/>
        <color theme="1"/>
        <sz val="10.0"/>
      </rPr>
      <t>(An Affiliate of</t>
    </r>
    <r>
      <rPr>
        <rFont val="Arial Narrow"/>
        <i/>
        <color rgb="FF003366"/>
        <sz val="10.0"/>
      </rPr>
      <t xml:space="preserve"> </t>
    </r>
    <r>
      <rPr>
        <rFont val="Arial Narrow"/>
        <b/>
        <i/>
        <color rgb="FF003366"/>
        <sz val="10.0"/>
      </rPr>
      <t>SCHWER ENGINEERING SERVICES AND SUPPLIES)</t>
    </r>
  </si>
  <si>
    <r>
      <rPr>
        <rFont val="Arial"/>
        <b/>
        <color theme="1"/>
        <sz val="10.0"/>
      </rPr>
      <t xml:space="preserve">All Items not specified in this proposal are </t>
    </r>
    <r>
      <rPr>
        <rFont val="Arial"/>
        <b/>
        <color rgb="FFFF0000"/>
        <sz val="10.0"/>
      </rPr>
      <t>NOT INCLUDED</t>
    </r>
    <r>
      <rPr>
        <rFont val="Arial"/>
        <b/>
        <color theme="1"/>
        <sz val="10.0"/>
      </rPr>
      <t xml:space="preserve"> in this offer. If there is any conflicts, or difference between the above</t>
    </r>
  </si>
  <si>
    <t>Inside Sales</t>
  </si>
  <si>
    <t>PER ITEM BREAKDOWN</t>
  </si>
  <si>
    <t>+ MARK UP</t>
  </si>
  <si>
    <t>TOTAL/ASSY</t>
  </si>
  <si>
    <t>GRAND TOTAL</t>
  </si>
  <si>
    <t>TOTAL MATERIAL COST</t>
  </si>
  <si>
    <t>TOTAL LABOR COST</t>
  </si>
  <si>
    <t>TOTAL DIRECT COST</t>
  </si>
  <si>
    <t>TOTAL METAL COST</t>
  </si>
  <si>
    <t>MATERIAL COST</t>
  </si>
  <si>
    <t>+ VAT</t>
  </si>
  <si>
    <t>REFERENCE</t>
  </si>
  <si>
    <t>BRAND</t>
  </si>
  <si>
    <t>BASE PRICE</t>
  </si>
  <si>
    <t>FINAL PRICE</t>
  </si>
  <si>
    <t>ASSY</t>
  </si>
  <si>
    <t>MAIN</t>
  </si>
  <si>
    <t>AT/AF, POLE, KAIC, VOLTAGE</t>
  </si>
  <si>
    <t>PART NO.</t>
  </si>
  <si>
    <t>SCHNEIDER</t>
  </si>
  <si>
    <t>BRANCHES</t>
  </si>
  <si>
    <t>TERMINAL LUGS</t>
  </si>
  <si>
    <t>PCS</t>
  </si>
  <si>
    <t>800AF MCGILL MECH LUGS</t>
  </si>
  <si>
    <t>MB2-600</t>
  </si>
  <si>
    <t>MCGILL</t>
  </si>
  <si>
    <t>630AF MCGILL MECH LUGS</t>
  </si>
  <si>
    <t>2L - 2X 500MCM</t>
  </si>
  <si>
    <t>400AF MCGILL MECH LUGS</t>
  </si>
  <si>
    <t>MGLA-500</t>
  </si>
  <si>
    <t>250AF MCGILL MECH LUGS</t>
  </si>
  <si>
    <t>MGLA-250</t>
  </si>
  <si>
    <t>100AF MCGILL MECH LUGS</t>
  </si>
  <si>
    <t>MGL-A0</t>
  </si>
  <si>
    <t>100AF, 50AT BELOW MCGILL MECH LUGS</t>
  </si>
  <si>
    <t>MGL-A2</t>
  </si>
  <si>
    <t>NEUTRAL LUGS</t>
  </si>
  <si>
    <t>GROUNDING LUGS</t>
  </si>
  <si>
    <t>50mm2 (320AT ABOVE) MCGILL MECH LUGS</t>
  </si>
  <si>
    <t>30mm2 (250AT ABOVE) MCGILL MECH LUGS</t>
  </si>
  <si>
    <t>22mm2 (100AF BELOW) MCGILL MECH LUGS</t>
  </si>
  <si>
    <t>MGL-A6</t>
  </si>
  <si>
    <t>MCB 63AF</t>
  </si>
  <si>
    <t>PAKATA</t>
  </si>
  <si>
    <t>TOTAL BREAKER</t>
  </si>
  <si>
    <t>BUSBAR</t>
  </si>
  <si>
    <t>QTY</t>
  </si>
  <si>
    <t>MAIN BUSBAR</t>
  </si>
  <si>
    <t>PRICE</t>
  </si>
  <si>
    <t>LENGTH</t>
  </si>
  <si>
    <t>BUSBAR SIZE</t>
  </si>
  <si>
    <t>RATING</t>
  </si>
  <si>
    <t>SUPPLIER</t>
  </si>
  <si>
    <t>BRANCHES BUSBAR</t>
  </si>
  <si>
    <t>NEUTRAL BUSBAR</t>
  </si>
  <si>
    <t>GROUNDING BUSBAR</t>
  </si>
  <si>
    <t>OTHERS:</t>
  </si>
  <si>
    <t>Busbar Sleeve</t>
  </si>
  <si>
    <t>TOTAL BUSBAR</t>
  </si>
  <si>
    <t>ENCLOSURE</t>
  </si>
  <si>
    <t>Dimension:</t>
  </si>
  <si>
    <t>G16</t>
  </si>
  <si>
    <t>POWDER COATING</t>
  </si>
  <si>
    <t>POWDER COAT PRICE</t>
  </si>
  <si>
    <t>Corrogated Cardboard</t>
  </si>
  <si>
    <t>Stretch Film</t>
  </si>
  <si>
    <t>TOTAL ENCLOSURE</t>
  </si>
  <si>
    <t>ACCESORIES</t>
  </si>
  <si>
    <t>Body grounding</t>
  </si>
  <si>
    <t>Hinges</t>
  </si>
  <si>
    <t>JL230-1.5</t>
  </si>
  <si>
    <t>GENERIC</t>
  </si>
  <si>
    <t>PUSHLOCK for deadfront</t>
  </si>
  <si>
    <t>MS714</t>
  </si>
  <si>
    <t>PUSHLOCK for FRONTDOOR</t>
  </si>
  <si>
    <t>MS603-1B</t>
  </si>
  <si>
    <t>Busbar Insulator (Red Poly)</t>
  </si>
  <si>
    <t>SM25</t>
  </si>
  <si>
    <t>Panel Tag</t>
  </si>
  <si>
    <t>SPMC sticker</t>
  </si>
  <si>
    <t>Consumables</t>
  </si>
  <si>
    <t>TOTAL ACCESORIES</t>
  </si>
  <si>
    <t>86 Nagkaisang Nayon, General Luis, Novaliches, Quezon City</t>
  </si>
  <si>
    <t>Cost Form (Internal Only)</t>
  </si>
  <si>
    <t>Attention:</t>
  </si>
  <si>
    <t>Address:</t>
  </si>
  <si>
    <t>Reference Number:</t>
  </si>
  <si>
    <t>Contact Number:</t>
  </si>
  <si>
    <t>21131 - JDG-20210312</t>
  </si>
  <si>
    <t>Email Address:</t>
  </si>
  <si>
    <t>Client:</t>
  </si>
  <si>
    <t>Project:</t>
  </si>
  <si>
    <t>Location:</t>
  </si>
  <si>
    <t>Subject:</t>
  </si>
  <si>
    <t>ITEMS</t>
  </si>
  <si>
    <t>DESCRIPTION</t>
  </si>
  <si>
    <t>QTY.</t>
  </si>
  <si>
    <t>UNIT</t>
  </si>
  <si>
    <t>UNIT PRICE</t>
  </si>
  <si>
    <t>TOTAL AMOUNT</t>
  </si>
  <si>
    <r>
      <rPr>
        <rFont val="Calibri"/>
        <b/>
        <color theme="1"/>
        <sz val="11.0"/>
      </rPr>
      <t>PANEL; 3</t>
    </r>
    <r>
      <rPr>
        <rFont val="Calibri"/>
        <b/>
        <color theme="1"/>
        <sz val="11.0"/>
      </rPr>
      <t>Ø, 400V, 4W+G, NEMA 1 WALL MOUNTED</t>
    </r>
  </si>
  <si>
    <t xml:space="preserve">Main: </t>
  </si>
  <si>
    <t>350AT/400AF, 3P, 36KAIC@400V</t>
  </si>
  <si>
    <t>MCCB</t>
  </si>
  <si>
    <t>EZC400N3350N</t>
  </si>
  <si>
    <t>Branches:</t>
  </si>
  <si>
    <t>30AT/100AF, 3P, 15KAIC@400V</t>
  </si>
  <si>
    <t>EZC100N3030</t>
  </si>
  <si>
    <t>with ground and neutral bus and terminal lugs</t>
  </si>
  <si>
    <t>Dimension: 800mmH x 650mmW x 250mmD</t>
  </si>
  <si>
    <t>G.I. Sheet Gauge 16, Swing-type deadfront</t>
  </si>
  <si>
    <t>Powder coated (wrinkled gray) finish</t>
  </si>
  <si>
    <t>ALL BREAKERS ARE SCHNEIDER BRAND</t>
  </si>
  <si>
    <t>TERMS &amp; CONDITION</t>
  </si>
  <si>
    <t>Payment:</t>
  </si>
  <si>
    <t>50% DP 50% Before Delivery / in PHP / VAT INCLUSIVE</t>
  </si>
  <si>
    <t>Delivery:</t>
  </si>
  <si>
    <t>10-30 working days upon receipt of valid P.O, Downpayment, and spproved shop drawing / Free Delivery Within Metro Manila</t>
  </si>
  <si>
    <t>Validity:</t>
  </si>
  <si>
    <t>Fifteen (15) days from the date</t>
  </si>
  <si>
    <t>Cancellation Clause:</t>
  </si>
  <si>
    <t>In case of order cancellation, a minimum charge of 20% of the total contract amount will be applied from the date of order receipt.  The cancellation charge shall be increased linearly up to 100% of the total contract price one month prior to scheduled delivery.</t>
  </si>
  <si>
    <t>Feel free to contact us for clarifications.</t>
  </si>
  <si>
    <t>Best Regards,</t>
  </si>
  <si>
    <t>Engr. Jayson Ernacio</t>
  </si>
  <si>
    <t>Engr. Ma. Guia Christine Dela Cruz</t>
  </si>
  <si>
    <t>Renz Emil Reyes</t>
  </si>
  <si>
    <t>Technical Sales</t>
  </si>
  <si>
    <t>Sales Engineer</t>
  </si>
  <si>
    <t>Cost Engineer</t>
  </si>
  <si>
    <t>0926 8173 094 /  8280-0019</t>
  </si>
  <si>
    <t>0926 917 2029 /  8280-0019</t>
  </si>
  <si>
    <t>0945 135 7950 / 8280-0019</t>
  </si>
  <si>
    <t>Checked by:</t>
  </si>
  <si>
    <t>Ron C. Camacho</t>
  </si>
  <si>
    <t>Bryan P. Rosales</t>
  </si>
  <si>
    <t>Technical Manager</t>
  </si>
  <si>
    <t>0976 045 3231 /  (02) 7340 6723</t>
  </si>
  <si>
    <t>0995 510 2383 / 8280-0019</t>
  </si>
  <si>
    <t>Approved by:</t>
  </si>
  <si>
    <t>Joseph Reihart Carpio</t>
  </si>
  <si>
    <t>Joseph Noel Velasco</t>
  </si>
  <si>
    <t>Managing Partner</t>
  </si>
  <si>
    <t>Managing Partner/ General Manager</t>
  </si>
  <si>
    <t>0977 096 9174 / 8280-0019</t>
  </si>
  <si>
    <t>0977-822-3040 / 8280-0019</t>
  </si>
  <si>
    <t>QUOTATION NO:</t>
  </si>
  <si>
    <t>270 - RER-20110701</t>
  </si>
  <si>
    <t>PROJECT:</t>
  </si>
  <si>
    <t>UOM</t>
  </si>
  <si>
    <t>VENDOR</t>
  </si>
  <si>
    <t>WH AVAILABLE</t>
  </si>
  <si>
    <t>TO PURCHASE</t>
  </si>
  <si>
    <t>BREAKERS</t>
  </si>
  <si>
    <t>100AT/100AF, 3P, 25KAIC@230V</t>
  </si>
  <si>
    <t>EZC100F3100</t>
  </si>
  <si>
    <t>PC</t>
  </si>
  <si>
    <t>SECORE</t>
  </si>
  <si>
    <t>40AT/100AF, 3P, 25KAIC@230V</t>
  </si>
  <si>
    <t>A9F74340</t>
  </si>
  <si>
    <t>112A BUSBAR</t>
  </si>
  <si>
    <t>1/4" x 1/2"</t>
  </si>
  <si>
    <t>LIMHUACO</t>
  </si>
  <si>
    <t>51A BUSBAR</t>
  </si>
  <si>
    <t>1/8" x 1/2"</t>
  </si>
  <si>
    <t>G.I. GAUGE 16</t>
  </si>
  <si>
    <t>SHEET</t>
  </si>
  <si>
    <t>REGAN</t>
  </si>
  <si>
    <t>ACCESSORIES</t>
  </si>
  <si>
    <t>BUSBAR SLEEVES</t>
  </si>
  <si>
    <t>1 1/2"</t>
  </si>
  <si>
    <t>CRIMPING LUGS</t>
  </si>
  <si>
    <t>160AF</t>
  </si>
  <si>
    <t>RNBS 38-12</t>
  </si>
  <si>
    <t>KCI</t>
  </si>
  <si>
    <t>MECHANICAL LUGS</t>
  </si>
  <si>
    <t>100AF</t>
  </si>
  <si>
    <t>EZALUG1003</t>
  </si>
  <si>
    <t>HINGES</t>
  </si>
  <si>
    <t>SMALL</t>
  </si>
  <si>
    <t>NOEL ATAS</t>
  </si>
  <si>
    <t>PUSHLOCK</t>
  </si>
  <si>
    <t>BUSBAR INSULATION (RED POLY)</t>
  </si>
  <si>
    <t>SM20</t>
  </si>
  <si>
    <t>PANEL TAG</t>
  </si>
  <si>
    <t>RDKIT2</t>
  </si>
  <si>
    <t>CONSUMABLES</t>
  </si>
  <si>
    <t>CUTTING DISC</t>
  </si>
  <si>
    <t>MIG WIRE</t>
  </si>
  <si>
    <t>BOX</t>
  </si>
  <si>
    <t>STRETCH FILM</t>
  </si>
  <si>
    <t>ROLL</t>
  </si>
  <si>
    <t>POWDER COAT</t>
  </si>
  <si>
    <t>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</si>
</sst>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-809]dd\ mmmm\ yyyy"/>
    <numFmt numFmtId="165" formatCode="_ * #,##0.00_ ;_ * \-#,##0.00_ ;_ * &quot;-&quot;??_ ;_ @_ "/>
    <numFmt numFmtId="166" formatCode="_-* #,##0.00_-;\-* #,##0.00_-;_-* &quot;-&quot;??_-;_-@"/>
    <numFmt numFmtId="167" formatCode="#,##0.00000"/>
    <numFmt numFmtId="168" formatCode="#,##0.0000"/>
    <numFmt numFmtId="169" formatCode="#,##0.000"/>
    <numFmt numFmtId="170" formatCode="_(* #,##0.00_);_(* \(#,##0.00\);_(* &quot;-&quot;??_);_(@_)"/>
    <numFmt numFmtId="171" formatCode="[$-809]d\ mmmm\ yyyy"/>
  </numFmts>
  <fonts count="49">
    <font>
      <sz val="11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i/>
      <sz val="10.0"/>
      <color theme="1"/>
      <name val="Arial Narrow"/>
    </font>
    <font>
      <b/>
      <sz val="12.0"/>
      <color rgb="FF000000"/>
      <name val="Arial"/>
    </font>
    <font>
      <sz val="10.0"/>
      <color theme="1"/>
      <name val="Arial Narrow"/>
    </font>
    <font>
      <b/>
      <sz val="10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rgb="FF222222"/>
      <name val="Arial"/>
    </font>
    <font>
      <sz val="10.0"/>
      <color rgb="FFFF0000"/>
      <name val="Arial"/>
    </font>
    <font>
      <sz val="14.0"/>
      <color rgb="FFFFFFFF"/>
      <name val="Arial"/>
    </font>
    <font>
      <b/>
      <sz val="16.0"/>
      <color theme="1"/>
      <name val="Arial"/>
    </font>
    <font>
      <sz val="12.0"/>
      <color rgb="FFFFFFFF"/>
      <name val="Arial"/>
    </font>
    <font>
      <sz val="12.0"/>
      <color rgb="FFFF0000"/>
      <name val="Arial"/>
    </font>
    <font>
      <sz val="14.0"/>
      <color theme="0"/>
      <name val="Arial"/>
    </font>
    <font>
      <b/>
      <sz val="12.0"/>
      <color theme="1"/>
      <name val="Arial"/>
    </font>
    <font>
      <b/>
      <sz val="10.0"/>
      <color theme="0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theme="1"/>
      <name val="Arial"/>
    </font>
    <font>
      <b/>
      <i/>
      <sz val="10.0"/>
      <color theme="1"/>
      <name val="Arial"/>
    </font>
    <font>
      <b/>
      <sz val="14.0"/>
      <color theme="1"/>
      <name val="Arial"/>
    </font>
    <font>
      <sz val="10.0"/>
      <color rgb="FFFFFFFF"/>
      <name val="Arial"/>
    </font>
    <font>
      <b/>
      <sz val="16.0"/>
      <color theme="1"/>
      <name val="Calibri"/>
    </font>
    <font>
      <b/>
      <sz val="14.0"/>
      <color theme="1"/>
      <name val="Calibri"/>
    </font>
    <font>
      <b/>
      <sz val="16.0"/>
      <color rgb="FFFF0000"/>
      <name val="Calibri"/>
    </font>
    <font>
      <sz val="16.0"/>
      <color theme="1"/>
      <name val="Calibri"/>
    </font>
    <font>
      <sz val="16.0"/>
      <color rgb="FF000000"/>
      <name val="Calibri"/>
    </font>
    <font>
      <sz val="14.0"/>
      <color theme="1"/>
      <name val="Calibri"/>
    </font>
    <font>
      <b/>
      <sz val="20.0"/>
      <color theme="1"/>
      <name val="Calibri"/>
    </font>
    <font>
      <sz val="8.0"/>
      <color theme="1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10.0"/>
      <color theme="1"/>
      <name val="Calibri"/>
    </font>
    <font>
      <b/>
      <i/>
      <sz val="11.0"/>
      <color theme="1"/>
      <name val="Calibri"/>
    </font>
    <font>
      <sz val="9.0"/>
      <color theme="1"/>
      <name val="Calibri"/>
    </font>
    <font>
      <b/>
      <sz val="10.0"/>
      <color theme="1"/>
      <name val="Calibri"/>
    </font>
    <font>
      <i/>
      <sz val="11.0"/>
      <color theme="1"/>
      <name val="Calibri"/>
    </font>
    <font>
      <i/>
      <sz val="9.0"/>
      <color theme="1"/>
      <name val="Calibri"/>
    </font>
    <font>
      <b/>
      <sz val="10.0"/>
      <color rgb="FF222222"/>
      <name val="Calibri"/>
    </font>
    <font>
      <b/>
      <sz val="18.0"/>
      <color theme="1"/>
      <name val="Calibri"/>
    </font>
    <font>
      <sz val="14.0"/>
      <color theme="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00B050"/>
        <bgColor rgb="FF00B050"/>
      </patternFill>
    </fill>
    <fill>
      <patternFill patternType="solid">
        <fgColor rgb="FFF7CAAC"/>
        <bgColor rgb="FFF7CAAC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3A3838"/>
        <bgColor rgb="FF3A3838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theme="1"/>
        <bgColor theme="1"/>
      </patternFill>
    </fill>
  </fills>
  <borders count="7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/>
      <right/>
      <top/>
    </border>
    <border>
      <left style="thin">
        <color rgb="FF000000"/>
      </lef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left style="medium">
        <color rgb="FFCCCCCC"/>
      </left>
      <top/>
      <bottom style="medium">
        <color rgb="FFCCCCCC"/>
      </bottom>
    </border>
    <border>
      <top/>
      <bottom style="medium">
        <color rgb="FFCCCCCC"/>
      </bottom>
    </border>
    <border>
      <right/>
      <top/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</border>
    <border>
      <left style="medium">
        <color rgb="FFCCCCCC"/>
      </left>
      <right style="medium">
        <color rgb="FFCCCCCC"/>
      </right>
      <bottom style="thick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000000"/>
      </bottom>
    </border>
    <border>
      <left style="medium">
        <color rgb="FFCCCCCC"/>
      </left>
      <bottom style="thick">
        <color rgb="FF000000"/>
      </bottom>
    </border>
    <border>
      <right style="medium">
        <color rgb="FFCCCCCC"/>
      </right>
      <bottom style="thick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left style="medium">
        <color rgb="FFCCCCCC"/>
      </left>
      <right style="medium">
        <color rgb="FFCCCCCC"/>
      </right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4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4" fillId="2" fontId="1" numFmtId="4" xfId="0" applyBorder="1" applyFill="1" applyFont="1" applyNumberFormat="1"/>
    <xf borderId="5" fillId="2" fontId="1" numFmtId="4" xfId="0" applyBorder="1" applyFont="1" applyNumberFormat="1"/>
    <xf borderId="5" fillId="2" fontId="2" numFmtId="4" xfId="0" applyBorder="1" applyFont="1" applyNumberFormat="1"/>
    <xf borderId="5" fillId="3" fontId="1" numFmtId="0" xfId="0" applyBorder="1" applyFill="1" applyFont="1"/>
    <xf borderId="6" fillId="0" fontId="1" numFmtId="0" xfId="0" applyBorder="1" applyFont="1"/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center" readingOrder="0"/>
    </xf>
    <xf borderId="7" fillId="0" fontId="3" numFmtId="0" xfId="0" applyBorder="1" applyFont="1"/>
    <xf borderId="7" fillId="0" fontId="1" numFmtId="0" xfId="0" applyBorder="1" applyFont="1"/>
    <xf borderId="8" fillId="2" fontId="1" numFmtId="4" xfId="0" applyBorder="1" applyFont="1" applyNumberFormat="1"/>
    <xf borderId="6" fillId="0" fontId="4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9" fillId="2" fontId="1" numFmtId="4" xfId="0" applyBorder="1" applyFont="1" applyNumberFormat="1"/>
    <xf borderId="10" fillId="4" fontId="1" numFmtId="4" xfId="0" applyAlignment="1" applyBorder="1" applyFill="1" applyFont="1" applyNumberFormat="1">
      <alignment readingOrder="0"/>
    </xf>
    <xf borderId="11" fillId="4" fontId="1" numFmtId="4" xfId="0" applyBorder="1" applyFont="1" applyNumberFormat="1"/>
    <xf borderId="12" fillId="2" fontId="1" numFmtId="4" xfId="0" applyBorder="1" applyFont="1" applyNumberFormat="1"/>
    <xf borderId="6" fillId="0" fontId="6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4" fillId="4" fontId="1" numFmtId="4" xfId="0" applyAlignment="1" applyBorder="1" applyFont="1" applyNumberFormat="1">
      <alignment readingOrder="0"/>
    </xf>
    <xf borderId="13" fillId="4" fontId="1" numFmtId="4" xfId="0" applyBorder="1" applyFont="1" applyNumberFormat="1"/>
    <xf borderId="0" fillId="0" fontId="7" numFmtId="0" xfId="0" applyFont="1"/>
    <xf borderId="0" fillId="0" fontId="2" numFmtId="0" xfId="0" applyFont="1"/>
    <xf borderId="0" fillId="0" fontId="8" numFmtId="0" xfId="0" applyFont="1"/>
    <xf borderId="7" fillId="0" fontId="2" numFmtId="0" xfId="0" applyBorder="1" applyFont="1"/>
    <xf borderId="14" fillId="4" fontId="1" numFmtId="4" xfId="0" applyBorder="1" applyFont="1" applyNumberFormat="1"/>
    <xf borderId="15" fillId="4" fontId="1" numFmtId="4" xfId="0" applyBorder="1" applyFont="1" applyNumberFormat="1"/>
    <xf borderId="16" fillId="2" fontId="1" numFmtId="4" xfId="0" applyBorder="1" applyFont="1" applyNumberFormat="1"/>
    <xf borderId="0" fillId="0" fontId="9" numFmtId="0" xfId="0" applyFont="1"/>
    <xf borderId="6" fillId="0" fontId="2" numFmtId="0" xfId="0" applyBorder="1" applyFont="1"/>
    <xf borderId="0" fillId="0" fontId="1" numFmtId="0" xfId="0" applyAlignment="1" applyFont="1">
      <alignment horizontal="left"/>
    </xf>
    <xf borderId="7" fillId="0" fontId="1" numFmtId="0" xfId="0" applyAlignment="1" applyBorder="1" applyFont="1">
      <alignment horizontal="left"/>
    </xf>
    <xf borderId="0" fillId="0" fontId="10" numFmtId="0" xfId="0" applyFont="1"/>
    <xf borderId="4" fillId="2" fontId="11" numFmtId="4" xfId="0" applyBorder="1" applyFont="1" applyNumberFormat="1"/>
    <xf borderId="5" fillId="2" fontId="11" numFmtId="4" xfId="0" applyBorder="1" applyFont="1" applyNumberFormat="1"/>
    <xf borderId="17" fillId="5" fontId="12" numFmtId="4" xfId="0" applyAlignment="1" applyBorder="1" applyFill="1" applyFont="1" applyNumberFormat="1">
      <alignment horizontal="right"/>
    </xf>
    <xf borderId="17" fillId="6" fontId="12" numFmtId="4" xfId="0" applyAlignment="1" applyBorder="1" applyFill="1" applyFont="1" applyNumberFormat="1">
      <alignment horizontal="right" readingOrder="0"/>
    </xf>
    <xf borderId="18" fillId="0" fontId="13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17" fillId="6" fontId="14" numFmtId="4" xfId="0" applyAlignment="1" applyBorder="1" applyFont="1" applyNumberFormat="1">
      <alignment horizontal="left" readingOrder="0"/>
    </xf>
    <xf borderId="17" fillId="7" fontId="15" numFmtId="4" xfId="0" applyBorder="1" applyFill="1" applyFont="1" applyNumberFormat="1"/>
    <xf borderId="17" fillId="6" fontId="12" numFmtId="4" xfId="0" applyAlignment="1" applyBorder="1" applyFont="1" applyNumberFormat="1">
      <alignment horizontal="right"/>
    </xf>
    <xf borderId="17" fillId="8" fontId="16" numFmtId="4" xfId="0" applyAlignment="1" applyBorder="1" applyFill="1" applyFont="1" applyNumberFormat="1">
      <alignment horizontal="right"/>
    </xf>
    <xf borderId="1" fillId="9" fontId="17" numFmtId="4" xfId="0" applyAlignment="1" applyBorder="1" applyFill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1" numFmtId="0" xfId="0" applyBorder="1" applyFont="1"/>
    <xf borderId="25" fillId="2" fontId="1" numFmtId="4" xfId="0" applyAlignment="1" applyBorder="1" applyFont="1" applyNumberFormat="1">
      <alignment horizontal="center"/>
    </xf>
    <xf borderId="26" fillId="0" fontId="3" numFmtId="0" xfId="0" applyBorder="1" applyFont="1"/>
    <xf borderId="12" fillId="0" fontId="3" numFmtId="0" xfId="0" applyBorder="1" applyFont="1"/>
    <xf borderId="27" fillId="10" fontId="18" numFmtId="0" xfId="0" applyAlignment="1" applyBorder="1" applyFill="1" applyFont="1">
      <alignment horizontal="center" vertical="center"/>
    </xf>
    <xf borderId="18" fillId="10" fontId="18" numFmtId="0" xfId="0" applyAlignment="1" applyBorder="1" applyFont="1">
      <alignment horizontal="center" vertical="center"/>
    </xf>
    <xf borderId="28" fillId="10" fontId="18" numFmtId="0" xfId="0" applyAlignment="1" applyBorder="1" applyFont="1">
      <alignment horizontal="center" vertical="center"/>
    </xf>
    <xf borderId="29" fillId="10" fontId="18" numFmtId="0" xfId="0" applyAlignment="1" applyBorder="1" applyFont="1">
      <alignment horizontal="center" vertical="center"/>
    </xf>
    <xf borderId="30" fillId="11" fontId="19" numFmtId="4" xfId="0" applyAlignment="1" applyBorder="1" applyFill="1" applyFont="1" applyNumberFormat="1">
      <alignment horizontal="center" shrinkToFit="0" wrapText="1"/>
    </xf>
    <xf borderId="31" fillId="11" fontId="19" numFmtId="4" xfId="0" applyAlignment="1" applyBorder="1" applyFont="1" applyNumberFormat="1">
      <alignment horizontal="center" shrinkToFit="0" wrapText="1"/>
    </xf>
    <xf borderId="32" fillId="11" fontId="19" numFmtId="4" xfId="0" applyAlignment="1" applyBorder="1" applyFont="1" applyNumberFormat="1">
      <alignment horizontal="center" shrinkToFit="0" wrapText="1"/>
    </xf>
    <xf borderId="31" fillId="5" fontId="19" numFmtId="4" xfId="0" applyAlignment="1" applyBorder="1" applyFont="1" applyNumberFormat="1">
      <alignment horizontal="center"/>
    </xf>
    <xf borderId="31" fillId="5" fontId="19" numFmtId="4" xfId="0" applyAlignment="1" applyBorder="1" applyFont="1" applyNumberFormat="1">
      <alignment horizontal="center" shrinkToFit="0" wrapText="1"/>
    </xf>
    <xf borderId="33" fillId="5" fontId="19" numFmtId="4" xfId="0" applyAlignment="1" applyBorder="1" applyFont="1" applyNumberFormat="1">
      <alignment horizontal="center" shrinkToFit="0" wrapText="1"/>
    </xf>
    <xf borderId="34" fillId="0" fontId="1" numFmtId="0" xfId="0" applyAlignment="1" applyBorder="1" applyFont="1">
      <alignment horizontal="center"/>
    </xf>
    <xf borderId="0" fillId="0" fontId="20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34" fillId="0" fontId="1" numFmtId="4" xfId="0" applyAlignment="1" applyBorder="1" applyFont="1" applyNumberFormat="1">
      <alignment horizontal="right"/>
    </xf>
    <xf borderId="6" fillId="0" fontId="1" numFmtId="4" xfId="0" applyAlignment="1" applyBorder="1" applyFont="1" applyNumberFormat="1">
      <alignment horizontal="right"/>
    </xf>
    <xf borderId="35" fillId="0" fontId="9" numFmtId="4" xfId="0" applyBorder="1" applyFont="1" applyNumberFormat="1"/>
    <xf borderId="36" fillId="0" fontId="9" numFmtId="4" xfId="0" applyBorder="1" applyFont="1" applyNumberFormat="1"/>
    <xf borderId="37" fillId="2" fontId="9" numFmtId="4" xfId="0" applyBorder="1" applyFont="1" applyNumberFormat="1"/>
    <xf borderId="38" fillId="4" fontId="9" numFmtId="10" xfId="0" applyBorder="1" applyFont="1" applyNumberFormat="1"/>
    <xf borderId="37" fillId="12" fontId="9" numFmtId="4" xfId="0" applyBorder="1" applyFill="1" applyFont="1" applyNumberFormat="1"/>
    <xf borderId="39" fillId="12" fontId="9" numFmtId="4" xfId="0" applyBorder="1" applyFont="1" applyNumberFormat="1"/>
    <xf borderId="40" fillId="12" fontId="9" numFmtId="0" xfId="0" applyBorder="1" applyFont="1"/>
    <xf borderId="41" fillId="4" fontId="21" numFmtId="0" xfId="0" applyAlignment="1" applyBorder="1" applyFont="1">
      <alignment horizontal="center"/>
    </xf>
    <xf borderId="0" fillId="0" fontId="22" numFmtId="0" xfId="0" applyAlignment="1" applyFont="1">
      <alignment readingOrder="0"/>
    </xf>
    <xf borderId="0" fillId="0" fontId="23" numFmtId="0" xfId="0" applyAlignment="1" applyFont="1">
      <alignment horizontal="left"/>
    </xf>
    <xf borderId="0" fillId="0" fontId="24" numFmtId="0" xfId="0" applyFont="1"/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center"/>
    </xf>
    <xf borderId="6" fillId="0" fontId="9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34" fillId="0" fontId="26" numFmtId="165" xfId="0" applyAlignment="1" applyBorder="1" applyFont="1" applyNumberFormat="1">
      <alignment horizontal="right"/>
    </xf>
    <xf borderId="6" fillId="0" fontId="26" numFmtId="4" xfId="0" applyAlignment="1" applyBorder="1" applyFont="1" applyNumberFormat="1">
      <alignment horizontal="right"/>
    </xf>
    <xf borderId="42" fillId="0" fontId="9" numFmtId="166" xfId="0" applyAlignment="1" applyBorder="1" applyFont="1" applyNumberFormat="1">
      <alignment horizontal="right"/>
    </xf>
    <xf borderId="35" fillId="0" fontId="9" numFmtId="4" xfId="0" applyAlignment="1" applyBorder="1" applyFont="1" applyNumberFormat="1">
      <alignment horizontal="right"/>
    </xf>
    <xf borderId="35" fillId="9" fontId="9" numFmtId="4" xfId="0" applyAlignment="1" applyBorder="1" applyFont="1" applyNumberFormat="1">
      <alignment horizontal="right"/>
    </xf>
    <xf borderId="35" fillId="9" fontId="26" numFmtId="4" xfId="0" applyAlignment="1" applyBorder="1" applyFont="1" applyNumberFormat="1">
      <alignment horizontal="right"/>
    </xf>
    <xf borderId="38" fillId="9" fontId="9" numFmtId="10" xfId="0" applyAlignment="1" applyBorder="1" applyFont="1" applyNumberFormat="1">
      <alignment horizontal="right"/>
    </xf>
    <xf borderId="35" fillId="12" fontId="9" numFmtId="4" xfId="0" applyAlignment="1" applyBorder="1" applyFont="1" applyNumberFormat="1">
      <alignment horizontal="right"/>
    </xf>
    <xf borderId="39" fillId="12" fontId="9" numFmtId="4" xfId="0" applyAlignment="1" applyBorder="1" applyFont="1" applyNumberFormat="1">
      <alignment horizontal="right"/>
    </xf>
    <xf borderId="40" fillId="12" fontId="9" numFmtId="165" xfId="0" applyAlignment="1" applyBorder="1" applyFont="1" applyNumberFormat="1">
      <alignment horizontal="right"/>
    </xf>
    <xf borderId="5" fillId="3" fontId="1" numFmtId="165" xfId="0" applyBorder="1" applyFont="1" applyNumberFormat="1"/>
    <xf borderId="0" fillId="0" fontId="20" numFmtId="0" xfId="0" applyFont="1"/>
    <xf borderId="34" fillId="0" fontId="21" numFmtId="0" xfId="0" applyAlignment="1" applyBorder="1" applyFont="1">
      <alignment horizontal="center"/>
    </xf>
    <xf borderId="6" fillId="0" fontId="9" numFmtId="0" xfId="0" applyBorder="1" applyFont="1"/>
    <xf borderId="21" fillId="0" fontId="21" numFmtId="165" xfId="0" applyBorder="1" applyFont="1" applyNumberFormat="1"/>
    <xf borderId="42" fillId="0" fontId="1" numFmtId="165" xfId="0" applyBorder="1" applyFont="1" applyNumberFormat="1"/>
    <xf borderId="42" fillId="0" fontId="1" numFmtId="166" xfId="0" applyBorder="1" applyFont="1" applyNumberFormat="1"/>
    <xf borderId="35" fillId="0" fontId="1" numFmtId="4" xfId="0" applyBorder="1" applyFont="1" applyNumberFormat="1"/>
    <xf borderId="35" fillId="9" fontId="1" numFmtId="4" xfId="0" applyBorder="1" applyFont="1" applyNumberFormat="1"/>
    <xf borderId="35" fillId="9" fontId="2" numFmtId="4" xfId="0" applyBorder="1" applyFont="1" applyNumberFormat="1"/>
    <xf borderId="38" fillId="9" fontId="1" numFmtId="10" xfId="0" applyBorder="1" applyFont="1" applyNumberFormat="1"/>
    <xf borderId="43" fillId="12" fontId="9" numFmtId="4" xfId="0" applyBorder="1" applyFont="1" applyNumberFormat="1"/>
    <xf borderId="6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7" fillId="0" fontId="2" numFmtId="0" xfId="0" applyAlignment="1" applyBorder="1" applyFont="1">
      <alignment horizontal="center"/>
    </xf>
    <xf borderId="34" fillId="0" fontId="2" numFmtId="4" xfId="0" applyAlignment="1" applyBorder="1" applyFont="1" applyNumberFormat="1">
      <alignment horizontal="right"/>
    </xf>
    <xf borderId="6" fillId="0" fontId="2" numFmtId="4" xfId="0" applyAlignment="1" applyBorder="1" applyFont="1" applyNumberFormat="1">
      <alignment horizontal="right"/>
    </xf>
    <xf borderId="35" fillId="0" fontId="26" numFmtId="4" xfId="0" applyAlignment="1" applyBorder="1" applyFont="1" applyNumberFormat="1">
      <alignment horizontal="right"/>
    </xf>
    <xf borderId="35" fillId="0" fontId="2" numFmtId="4" xfId="0" applyBorder="1" applyFont="1" applyNumberFormat="1"/>
    <xf borderId="35" fillId="9" fontId="2" numFmtId="4" xfId="0" applyAlignment="1" applyBorder="1" applyFont="1" applyNumberFormat="1">
      <alignment horizontal="right"/>
    </xf>
    <xf borderId="40" fillId="9" fontId="2" numFmtId="9" xfId="0" applyBorder="1" applyFont="1" applyNumberFormat="1"/>
    <xf borderId="17" fillId="9" fontId="2" numFmtId="9" xfId="0" applyBorder="1" applyFont="1" applyNumberFormat="1"/>
    <xf borderId="17" fillId="13" fontId="2" numFmtId="4" xfId="0" applyBorder="1" applyFill="1" applyFont="1" applyNumberFormat="1"/>
    <xf borderId="40" fillId="13" fontId="2" numFmtId="4" xfId="0" applyBorder="1" applyFont="1" applyNumberFormat="1"/>
    <xf borderId="39" fillId="13" fontId="2" numFmtId="4" xfId="0" applyBorder="1" applyFont="1" applyNumberFormat="1"/>
    <xf borderId="34" fillId="0" fontId="2" numFmtId="0" xfId="0" applyAlignment="1" applyBorder="1" applyFont="1">
      <alignment horizontal="center"/>
    </xf>
    <xf borderId="21" fillId="0" fontId="27" numFmtId="0" xfId="0" applyAlignment="1" applyBorder="1" applyFont="1">
      <alignment horizontal="center"/>
    </xf>
    <xf borderId="22" fillId="0" fontId="27" numFmtId="0" xfId="0" applyAlignment="1" applyBorder="1" applyFont="1">
      <alignment horizontal="center"/>
    </xf>
    <xf borderId="23" fillId="0" fontId="27" numFmtId="0" xfId="0" applyAlignment="1" applyBorder="1" applyFont="1">
      <alignment horizontal="center"/>
    </xf>
    <xf borderId="34" fillId="0" fontId="2" numFmtId="9" xfId="0" applyAlignment="1" applyBorder="1" applyFont="1" applyNumberFormat="1">
      <alignment horizontal="right"/>
    </xf>
    <xf borderId="35" fillId="0" fontId="26" numFmtId="4" xfId="0" applyBorder="1" applyFont="1" applyNumberFormat="1"/>
    <xf borderId="44" fillId="2" fontId="1" numFmtId="4" xfId="0" applyBorder="1" applyFont="1" applyNumberFormat="1"/>
    <xf borderId="27" fillId="2" fontId="1" numFmtId="4" xfId="0" applyBorder="1" applyFont="1" applyNumberFormat="1"/>
    <xf borderId="27" fillId="2" fontId="2" numFmtId="4" xfId="0" applyBorder="1" applyFont="1" applyNumberFormat="1"/>
    <xf borderId="27" fillId="9" fontId="1" numFmtId="4" xfId="0" applyBorder="1" applyFont="1" applyNumberFormat="1"/>
    <xf borderId="27" fillId="13" fontId="1" numFmtId="4" xfId="0" applyBorder="1" applyFont="1" applyNumberFormat="1"/>
    <xf borderId="29" fillId="13" fontId="1" numFmtId="4" xfId="0" applyBorder="1" applyFont="1" applyNumberFormat="1"/>
    <xf borderId="40" fillId="13" fontId="1" numFmtId="0" xfId="0" applyBorder="1" applyFont="1"/>
    <xf borderId="5" fillId="3" fontId="2" numFmtId="0" xfId="0" applyBorder="1" applyFont="1"/>
    <xf borderId="45" fillId="0" fontId="1" numFmtId="0" xfId="0" applyAlignment="1" applyBorder="1" applyFont="1">
      <alignment vertical="center"/>
    </xf>
    <xf borderId="46" fillId="0" fontId="1" numFmtId="0" xfId="0" applyAlignment="1" applyBorder="1" applyFont="1">
      <alignment vertical="center"/>
    </xf>
    <xf borderId="46" fillId="0" fontId="2" numFmtId="0" xfId="0" applyAlignment="1" applyBorder="1" applyFont="1">
      <alignment horizontal="left" vertical="center"/>
    </xf>
    <xf borderId="46" fillId="0" fontId="3" numFmtId="0" xfId="0" applyBorder="1" applyFont="1"/>
    <xf borderId="36" fillId="0" fontId="28" numFmtId="4" xfId="0" applyAlignment="1" applyBorder="1" applyFont="1" applyNumberFormat="1">
      <alignment vertical="center"/>
    </xf>
    <xf borderId="34" fillId="0" fontId="1" numFmtId="0" xfId="0" applyBorder="1" applyFont="1"/>
    <xf borderId="0" fillId="0" fontId="1" numFmtId="0" xfId="0" applyAlignment="1" applyFont="1">
      <alignment vertical="top"/>
    </xf>
    <xf borderId="2" fillId="0" fontId="1" numFmtId="0" xfId="0" applyAlignment="1" applyBorder="1" applyFont="1">
      <alignment horizontal="left" shrinkToFit="0" wrapText="1"/>
    </xf>
    <xf borderId="5" fillId="2" fontId="1" numFmtId="167" xfId="0" applyBorder="1" applyFont="1" applyNumberFormat="1"/>
    <xf borderId="5" fillId="2" fontId="1" numFmtId="168" xfId="0" applyBorder="1" applyFont="1" applyNumberFormat="1"/>
    <xf borderId="0" fillId="0" fontId="1" numFmtId="0" xfId="0" applyAlignment="1" applyFont="1">
      <alignment shrinkToFit="0" wrapText="1"/>
    </xf>
    <xf borderId="5" fillId="2" fontId="9" numFmtId="4" xfId="0" applyBorder="1" applyFont="1" applyNumberFormat="1"/>
    <xf borderId="5" fillId="2" fontId="1" numFmtId="4" xfId="0" applyAlignment="1" applyBorder="1" applyFont="1" applyNumberFormat="1">
      <alignment readingOrder="0"/>
    </xf>
    <xf borderId="0" fillId="0" fontId="1" numFmtId="0" xfId="0" applyAlignment="1" applyFont="1">
      <alignment shrinkToFit="0" vertical="top" wrapText="1"/>
    </xf>
    <xf borderId="5" fillId="2" fontId="1" numFmtId="169" xfId="0" applyBorder="1" applyFont="1" applyNumberFormat="1"/>
    <xf borderId="5" fillId="2" fontId="1" numFmtId="168" xfId="0" applyAlignment="1" applyBorder="1" applyFont="1" applyNumberFormat="1">
      <alignment horizontal="left"/>
    </xf>
    <xf borderId="5" fillId="2" fontId="9" numFmtId="0" xfId="0" applyAlignment="1" applyBorder="1" applyFont="1">
      <alignment horizontal="left" readingOrder="1" shrinkToFit="0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shrinkToFit="0" wrapText="1"/>
    </xf>
    <xf borderId="0" fillId="0" fontId="9" numFmtId="0" xfId="0" applyAlignment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9" numFmtId="0" xfId="0" applyFont="1"/>
    <xf borderId="0" fillId="0" fontId="26" numFmtId="0" xfId="0" applyFont="1"/>
    <xf borderId="1" fillId="0" fontId="1" numFmtId="0" xfId="0" applyAlignment="1" applyBorder="1" applyFont="1">
      <alignment readingOrder="0"/>
    </xf>
    <xf borderId="0" fillId="0" fontId="2" numFmtId="164" xfId="0" applyAlignment="1" applyFont="1" applyNumberFormat="1">
      <alignment horizontal="center"/>
    </xf>
    <xf borderId="0" fillId="0" fontId="22" numFmtId="0" xfId="0" applyFont="1"/>
    <xf borderId="0" fillId="0" fontId="20" numFmtId="0" xfId="0" applyAlignment="1" applyFont="1">
      <alignment horizontal="left" readingOrder="1" shrinkToFit="0" wrapText="1"/>
    </xf>
    <xf borderId="47" fillId="0" fontId="30" numFmtId="9" xfId="0" applyAlignment="1" applyBorder="1" applyFont="1" applyNumberFormat="1">
      <alignment horizontal="center" readingOrder="1" shrinkToFit="0" wrapText="1"/>
    </xf>
    <xf borderId="48" fillId="0" fontId="20" numFmtId="0" xfId="0" applyAlignment="1" applyBorder="1" applyFont="1">
      <alignment horizontal="left" readingOrder="1" shrinkToFit="0" wrapText="1"/>
    </xf>
    <xf borderId="47" fillId="0" fontId="20" numFmtId="0" xfId="0" applyAlignment="1" applyBorder="1" applyFont="1">
      <alignment horizontal="left" readingOrder="1" shrinkToFit="0" wrapText="1"/>
    </xf>
    <xf borderId="49" fillId="14" fontId="30" numFmtId="0" xfId="0" applyAlignment="1" applyBorder="1" applyFill="1" applyFont="1">
      <alignment horizontal="center" readingOrder="1" shrinkToFit="0" wrapText="1"/>
    </xf>
    <xf borderId="50" fillId="0" fontId="3" numFmtId="0" xfId="0" applyBorder="1" applyFont="1"/>
    <xf borderId="51" fillId="0" fontId="3" numFmtId="0" xfId="0" applyBorder="1" applyFont="1"/>
    <xf borderId="52" fillId="0" fontId="30" numFmtId="0" xfId="0" applyAlignment="1" applyBorder="1" applyFont="1">
      <alignment horizontal="center" readingOrder="1" shrinkToFit="0" wrapText="1"/>
    </xf>
    <xf borderId="53" fillId="0" fontId="30" numFmtId="0" xfId="0" applyAlignment="1" applyBorder="1" applyFont="1">
      <alignment horizontal="center" readingOrder="1" shrinkToFit="0" wrapText="1"/>
    </xf>
    <xf borderId="0" fillId="0" fontId="30" numFmtId="0" xfId="0" applyAlignment="1" applyFont="1">
      <alignment horizontal="left" readingOrder="1" shrinkToFit="0" wrapText="1"/>
    </xf>
    <xf borderId="0" fillId="0" fontId="31" numFmtId="0" xfId="0" applyAlignment="1" applyFont="1">
      <alignment horizontal="center" readingOrder="1" shrinkToFit="0" wrapText="1"/>
    </xf>
    <xf borderId="52" fillId="0" fontId="20" numFmtId="0" xfId="0" applyAlignment="1" applyBorder="1" applyFont="1">
      <alignment horizontal="left" readingOrder="1" shrinkToFit="0" wrapText="1"/>
    </xf>
    <xf borderId="54" fillId="0" fontId="30" numFmtId="0" xfId="0" applyAlignment="1" applyBorder="1" applyFont="1">
      <alignment horizontal="center" shrinkToFit="0" wrapText="1"/>
    </xf>
    <xf borderId="55" fillId="0" fontId="31" numFmtId="0" xfId="0" applyAlignment="1" applyBorder="1" applyFont="1">
      <alignment horizontal="center" shrinkToFit="0" wrapText="1"/>
    </xf>
    <xf borderId="56" fillId="0" fontId="20" numFmtId="0" xfId="0" applyAlignment="1" applyBorder="1" applyFont="1">
      <alignment horizontal="left" readingOrder="1" shrinkToFit="0" wrapText="1"/>
    </xf>
    <xf borderId="57" fillId="0" fontId="20" numFmtId="0" xfId="0" applyAlignment="1" applyBorder="1" applyFont="1">
      <alignment horizontal="left" readingOrder="1" shrinkToFit="0" wrapText="1"/>
    </xf>
    <xf borderId="58" fillId="0" fontId="30" numFmtId="0" xfId="0" applyAlignment="1" applyBorder="1" applyFont="1">
      <alignment horizontal="left" readingOrder="1" shrinkToFit="0" wrapText="1"/>
    </xf>
    <xf borderId="59" fillId="0" fontId="3" numFmtId="0" xfId="0" applyBorder="1" applyFont="1"/>
    <xf borderId="56" fillId="0" fontId="30" numFmtId="0" xfId="0" applyAlignment="1" applyBorder="1" applyFont="1">
      <alignment horizontal="left" readingOrder="1" shrinkToFit="0" wrapText="1"/>
    </xf>
    <xf borderId="60" fillId="0" fontId="20" numFmtId="0" xfId="0" applyAlignment="1" applyBorder="1" applyFont="1">
      <alignment horizontal="left" readingOrder="1" shrinkToFit="0" wrapText="1"/>
    </xf>
    <xf borderId="60" fillId="0" fontId="30" numFmtId="0" xfId="0" applyAlignment="1" applyBorder="1" applyFont="1">
      <alignment horizontal="center" readingOrder="1" shrinkToFit="0" wrapText="1"/>
    </xf>
    <xf borderId="61" fillId="0" fontId="20" numFmtId="0" xfId="0" applyAlignment="1" applyBorder="1" applyFont="1">
      <alignment horizontal="left" readingOrder="1" shrinkToFit="0" wrapText="1"/>
    </xf>
    <xf borderId="56" fillId="0" fontId="31" numFmtId="0" xfId="0" applyAlignment="1" applyBorder="1" applyFont="1">
      <alignment horizontal="center" readingOrder="1" shrinkToFit="0" wrapText="1"/>
    </xf>
    <xf borderId="62" fillId="0" fontId="20" numFmtId="0" xfId="0" applyAlignment="1" applyBorder="1" applyFont="1">
      <alignment horizontal="left" readingOrder="1" shrinkToFit="0" wrapText="1"/>
    </xf>
    <xf borderId="61" fillId="0" fontId="3" numFmtId="0" xfId="0" applyBorder="1" applyFont="1"/>
    <xf borderId="48" fillId="0" fontId="3" numFmtId="0" xfId="0" applyBorder="1" applyFont="1"/>
    <xf borderId="63" fillId="9" fontId="32" numFmtId="0" xfId="0" applyAlignment="1" applyBorder="1" applyFont="1">
      <alignment horizontal="center" readingOrder="1" shrinkToFit="0" vertical="center" wrapText="1"/>
    </xf>
    <xf borderId="60" fillId="9" fontId="20" numFmtId="0" xfId="0" applyAlignment="1" applyBorder="1" applyFont="1">
      <alignment horizontal="left" readingOrder="1" shrinkToFit="0" vertical="top" wrapText="1"/>
    </xf>
    <xf borderId="60" fillId="9" fontId="32" numFmtId="0" xfId="0" applyAlignment="1" applyBorder="1" applyFont="1">
      <alignment vertical="center"/>
    </xf>
    <xf borderId="64" fillId="9" fontId="32" numFmtId="0" xfId="0" applyAlignment="1" applyBorder="1" applyFont="1">
      <alignment horizontal="left" readingOrder="1" shrinkToFit="0" vertical="center" wrapText="1"/>
    </xf>
    <xf borderId="65" fillId="9" fontId="32" numFmtId="0" xfId="0" applyAlignment="1" applyBorder="1" applyFont="1">
      <alignment horizontal="center" readingOrder="1" shrinkToFit="0" vertical="center" wrapText="1"/>
    </xf>
    <xf borderId="60" fillId="9" fontId="32" numFmtId="0" xfId="0" applyAlignment="1" applyBorder="1" applyFont="1">
      <alignment horizontal="center" readingOrder="1" shrinkToFit="0" vertical="center" wrapText="1"/>
    </xf>
    <xf borderId="60" fillId="9" fontId="32" numFmtId="0" xfId="0" applyAlignment="1" applyBorder="1" applyFont="1">
      <alignment horizontal="center" readingOrder="1" shrinkToFit="0" wrapText="1"/>
    </xf>
    <xf borderId="60" fillId="9" fontId="32" numFmtId="4" xfId="0" applyAlignment="1" applyBorder="1" applyFont="1" applyNumberFormat="1">
      <alignment horizontal="right" readingOrder="1" shrinkToFit="0" wrapText="1"/>
    </xf>
    <xf borderId="60" fillId="9" fontId="20" numFmtId="0" xfId="0" applyAlignment="1" applyBorder="1" applyFont="1">
      <alignment horizontal="left" readingOrder="1" shrinkToFit="0" wrapText="1"/>
    </xf>
    <xf borderId="66" fillId="9" fontId="32" numFmtId="166" xfId="0" applyBorder="1" applyFont="1" applyNumberFormat="1"/>
    <xf borderId="40" fillId="9" fontId="30" numFmtId="166" xfId="0" applyAlignment="1" applyBorder="1" applyFont="1" applyNumberFormat="1">
      <alignment horizontal="center"/>
    </xf>
    <xf borderId="67" fillId="0" fontId="20" numFmtId="0" xfId="0" applyAlignment="1" applyBorder="1" applyFont="1">
      <alignment horizontal="left" readingOrder="1" shrinkToFit="0" wrapText="1"/>
    </xf>
    <xf borderId="60" fillId="9" fontId="30" numFmtId="0" xfId="0" applyAlignment="1" applyBorder="1" applyFont="1">
      <alignment horizontal="center" readingOrder="1" shrinkToFit="0" wrapText="1"/>
    </xf>
    <xf borderId="68" fillId="9" fontId="30" numFmtId="0" xfId="0" applyAlignment="1" applyBorder="1" applyFont="1">
      <alignment horizontal="left" readingOrder="1" shrinkToFit="0" wrapText="1"/>
    </xf>
    <xf borderId="69" fillId="9" fontId="30" numFmtId="170" xfId="0" applyAlignment="1" applyBorder="1" applyFont="1" applyNumberFormat="1">
      <alignment horizontal="center"/>
    </xf>
    <xf borderId="68" fillId="9" fontId="30" numFmtId="4" xfId="0" applyAlignment="1" applyBorder="1" applyFont="1" applyNumberFormat="1">
      <alignment horizontal="right" readingOrder="1" shrinkToFit="0" wrapText="1"/>
    </xf>
    <xf borderId="53" fillId="0" fontId="30" numFmtId="0" xfId="0" applyAlignment="1" applyBorder="1" applyFont="1">
      <alignment horizontal="right" readingOrder="1" shrinkToFit="0" wrapText="1"/>
    </xf>
    <xf borderId="70" fillId="0" fontId="20" numFmtId="0" xfId="0" applyAlignment="1" applyBorder="1" applyFont="1">
      <alignment horizontal="left" readingOrder="1" shrinkToFit="0" vertical="center" wrapText="1"/>
    </xf>
    <xf borderId="54" fillId="0" fontId="30" numFmtId="0" xfId="0" applyAlignment="1" applyBorder="1" applyFont="1">
      <alignment vertical="top"/>
    </xf>
    <xf borderId="54" fillId="0" fontId="20" numFmtId="0" xfId="0" applyAlignment="1" applyBorder="1" applyFont="1">
      <alignment horizontal="left" readingOrder="1" shrinkToFit="0" vertical="center" wrapText="1"/>
    </xf>
    <xf borderId="54" fillId="0" fontId="33" numFmtId="0" xfId="0" applyAlignment="1" applyBorder="1" applyFont="1">
      <alignment horizontal="center" readingOrder="1" shrinkToFit="0" vertical="center" wrapText="1"/>
    </xf>
    <xf borderId="54" fillId="0" fontId="20" numFmtId="0" xfId="0" applyAlignment="1" applyBorder="1" applyFont="1">
      <alignment horizontal="left" readingOrder="1" shrinkToFit="0" wrapText="1"/>
    </xf>
    <xf borderId="71" fillId="0" fontId="20" numFmtId="0" xfId="0" applyAlignment="1" applyBorder="1" applyFont="1">
      <alignment horizontal="left" readingOrder="1" shrinkToFit="0" wrapText="1"/>
    </xf>
    <xf borderId="0" fillId="0" fontId="20" numFmtId="0" xfId="0" applyAlignment="1" applyFont="1">
      <alignment horizontal="left" readingOrder="1" shrinkToFit="0" vertical="center" wrapText="1"/>
    </xf>
    <xf borderId="0" fillId="0" fontId="33" numFmtId="0" xfId="0" applyAlignment="1" applyFont="1">
      <alignment horizontal="center" readingOrder="1" shrinkToFit="0" vertical="center" wrapText="1"/>
    </xf>
    <xf borderId="0" fillId="0" fontId="33" numFmtId="0" xfId="0" applyAlignment="1" applyFont="1">
      <alignment horizontal="left"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0" fontId="33" numFmtId="4" xfId="0" applyAlignment="1" applyFont="1" applyNumberFormat="1">
      <alignment horizontal="center" shrinkToFit="0" vertical="center" wrapText="1"/>
    </xf>
    <xf borderId="0" fillId="0" fontId="33" numFmtId="166" xfId="0" applyAlignment="1" applyFont="1" applyNumberFormat="1">
      <alignment horizontal="right"/>
    </xf>
    <xf borderId="0" fillId="0" fontId="33" numFmtId="4" xfId="0" applyAlignment="1" applyFont="1" applyNumberFormat="1">
      <alignment horizontal="right" shrinkToFit="0" wrapText="1"/>
    </xf>
    <xf borderId="0" fillId="0" fontId="9" numFmtId="4" xfId="0" applyFont="1" applyNumberFormat="1"/>
    <xf borderId="0" fillId="0" fontId="9" numFmtId="166" xfId="0" applyFont="1" applyNumberFormat="1"/>
    <xf borderId="0" fillId="0" fontId="33" numFmtId="0" xfId="0" applyAlignment="1" applyFont="1">
      <alignment horizontal="left" readingOrder="1" shrinkToFit="0" vertical="center" wrapText="1"/>
    </xf>
    <xf borderId="0" fillId="0" fontId="33" numFmtId="166" xfId="0" applyFont="1" applyNumberFormat="1"/>
    <xf borderId="0" fillId="0" fontId="33" numFmtId="4" xfId="0" applyAlignment="1" applyFont="1" applyNumberFormat="1">
      <alignment horizontal="right" readingOrder="1" shrinkToFit="0" wrapText="1"/>
    </xf>
    <xf borderId="0" fillId="0" fontId="30" numFmtId="0" xfId="0" applyAlignment="1" applyFont="1">
      <alignment horizontal="left" readingOrder="1" shrinkToFit="0" vertical="center" wrapText="1"/>
    </xf>
    <xf borderId="0" fillId="0" fontId="31" numFmtId="0" xfId="0" applyAlignment="1" applyFont="1">
      <alignment horizontal="right" vertical="center"/>
    </xf>
    <xf borderId="0" fillId="0" fontId="33" numFmtId="0" xfId="0" applyAlignment="1" applyFont="1">
      <alignment shrinkToFit="0" wrapText="1"/>
    </xf>
    <xf borderId="0" fillId="0" fontId="33" numFmtId="0" xfId="0" applyAlignment="1" applyFont="1">
      <alignment horizontal="center" shrinkToFit="0" wrapText="1"/>
    </xf>
    <xf borderId="0" fillId="0" fontId="34" numFmtId="0" xfId="0" applyAlignment="1" applyFont="1">
      <alignment horizontal="center"/>
    </xf>
    <xf borderId="0" fillId="0" fontId="35" numFmtId="0" xfId="0" applyAlignment="1" applyFont="1">
      <alignment horizontal="right" readingOrder="1" shrinkToFit="0" vertical="center" wrapText="1"/>
    </xf>
    <xf borderId="0" fillId="0" fontId="31" numFmtId="0" xfId="0" applyAlignment="1" applyFont="1">
      <alignment horizontal="right" readingOrder="1" shrinkToFit="0" vertical="center" wrapText="1"/>
    </xf>
    <xf borderId="59" fillId="0" fontId="20" numFmtId="0" xfId="0" applyAlignment="1" applyBorder="1" applyFont="1">
      <alignment horizontal="left" readingOrder="1" shrinkToFit="0" vertical="center" wrapText="1"/>
    </xf>
    <xf borderId="56" fillId="0" fontId="20" numFmtId="0" xfId="0" applyAlignment="1" applyBorder="1" applyFont="1">
      <alignment horizontal="left" readingOrder="1" shrinkToFit="0" vertical="center" wrapText="1"/>
    </xf>
    <xf borderId="56" fillId="0" fontId="33" numFmtId="0" xfId="0" applyAlignment="1" applyBorder="1" applyFont="1">
      <alignment horizontal="left" readingOrder="1" shrinkToFit="0" vertical="center" wrapText="1"/>
    </xf>
    <xf borderId="72" fillId="0" fontId="20" numFmtId="0" xfId="0" applyAlignment="1" applyBorder="1" applyFont="1">
      <alignment horizontal="left" readingOrder="1" shrinkToFit="0" wrapText="1"/>
    </xf>
    <xf borderId="55" fillId="0" fontId="20" numFmtId="0" xfId="0" applyAlignment="1" applyBorder="1" applyFont="1">
      <alignment horizontal="left" readingOrder="1" shrinkToFit="0" wrapText="1"/>
    </xf>
    <xf borderId="60" fillId="0" fontId="36" numFmtId="0" xfId="0" applyAlignment="1" applyBorder="1" applyFont="1">
      <alignment vertical="center"/>
    </xf>
    <xf borderId="60" fillId="0" fontId="20" numFmtId="0" xfId="0" applyAlignment="1" applyBorder="1" applyFont="1">
      <alignment horizontal="left" readingOrder="1" shrinkToFit="0" vertical="center" wrapText="1"/>
    </xf>
    <xf borderId="68" fillId="0" fontId="36" numFmtId="4" xfId="0" applyAlignment="1" applyBorder="1" applyFont="1" applyNumberFormat="1">
      <alignment horizontal="center" readingOrder="1" shrinkToFit="0" vertical="center" wrapText="1"/>
    </xf>
    <xf borderId="70" fillId="0" fontId="9" numFmtId="0" xfId="0" applyBorder="1" applyFont="1"/>
    <xf borderId="54" fillId="0" fontId="9" numFmtId="0" xfId="0" applyBorder="1" applyFont="1"/>
    <xf borderId="72" fillId="0" fontId="9" numFmtId="166" xfId="0" applyBorder="1" applyFont="1" applyNumberFormat="1"/>
    <xf borderId="55" fillId="0" fontId="9" numFmtId="0" xfId="0" applyBorder="1" applyFont="1"/>
    <xf borderId="0" fillId="0" fontId="30" numFmtId="0" xfId="0" applyFont="1"/>
    <xf borderId="0" fillId="0" fontId="30" numFmtId="0" xfId="0" applyAlignment="1" applyFont="1">
      <alignment shrinkToFit="0" wrapText="1"/>
    </xf>
    <xf borderId="0" fillId="0" fontId="9" numFmtId="40" xfId="0" applyFont="1" applyNumberFormat="1"/>
    <xf borderId="0" fillId="0" fontId="35" numFmtId="0" xfId="0" applyAlignment="1" applyFont="1">
      <alignment horizontal="right" shrinkToFit="0" wrapText="1"/>
    </xf>
    <xf borderId="0" fillId="0" fontId="9" numFmtId="0" xfId="0" applyAlignment="1" applyFont="1">
      <alignment horizontal="right"/>
    </xf>
    <xf borderId="56" fillId="0" fontId="9" numFmtId="0" xfId="0" applyBorder="1" applyFont="1"/>
    <xf borderId="60" fillId="0" fontId="36" numFmtId="0" xfId="0" applyBorder="1" applyFont="1"/>
    <xf borderId="60" fillId="0" fontId="9" numFmtId="0" xfId="0" applyBorder="1" applyFont="1"/>
    <xf borderId="68" fillId="0" fontId="36" numFmtId="4" xfId="0" applyAlignment="1" applyBorder="1" applyFont="1" applyNumberFormat="1">
      <alignment horizontal="center" shrinkToFit="0" wrapText="1"/>
    </xf>
    <xf borderId="0" fillId="0" fontId="30" numFmtId="0" xfId="0" applyAlignment="1" applyFont="1">
      <alignment vertical="center"/>
    </xf>
    <xf borderId="0" fillId="0" fontId="33" numFmtId="0" xfId="0" applyAlignment="1" applyFont="1">
      <alignment horizontal="center" vertical="center"/>
    </xf>
    <xf borderId="0" fillId="0" fontId="33" numFmtId="0" xfId="0" applyAlignment="1" applyFont="1">
      <alignment horizontal="right" readingOrder="1" shrinkToFit="0" wrapText="1"/>
    </xf>
    <xf borderId="56" fillId="0" fontId="33" numFmtId="0" xfId="0" applyAlignment="1" applyBorder="1" applyFont="1">
      <alignment horizontal="center" readingOrder="1" shrinkToFit="0" vertical="center" wrapText="1"/>
    </xf>
    <xf borderId="60" fillId="0" fontId="33" numFmtId="0" xfId="0" applyAlignment="1" applyBorder="1" applyFont="1">
      <alignment horizontal="center" readingOrder="1" shrinkToFit="0" vertical="center" wrapText="1"/>
    </xf>
    <xf borderId="0" fillId="0" fontId="33" numFmtId="4" xfId="0" applyAlignment="1" applyFont="1" applyNumberFormat="1">
      <alignment horizontal="center" shrinkToFit="0" wrapText="1"/>
    </xf>
    <xf borderId="0" fillId="0" fontId="33" numFmtId="0" xfId="0" applyAlignment="1" applyFont="1">
      <alignment horizontal="right" shrinkToFit="0" wrapText="1"/>
    </xf>
    <xf borderId="0" fillId="0" fontId="30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left" vertical="center"/>
    </xf>
    <xf borderId="0" fillId="0" fontId="33" numFmtId="0" xfId="0" applyFont="1"/>
    <xf borderId="0" fillId="0" fontId="33" numFmtId="40" xfId="0" applyFont="1" applyNumberFormat="1"/>
    <xf borderId="0" fillId="0" fontId="20" numFmtId="0" xfId="0" applyAlignment="1" applyFont="1">
      <alignment horizontal="center"/>
    </xf>
    <xf borderId="0" fillId="0" fontId="30" numFmtId="0" xfId="0" applyAlignment="1" applyFont="1">
      <alignment horizontal="left" readingOrder="1" shrinkToFit="0" vertical="top" wrapText="1"/>
    </xf>
    <xf borderId="0" fillId="0" fontId="20" numFmtId="0" xfId="0" applyAlignment="1" applyFont="1">
      <alignment horizontal="left" readingOrder="1" shrinkToFit="0" vertical="top" wrapText="1"/>
    </xf>
    <xf borderId="72" fillId="0" fontId="33" numFmtId="0" xfId="0" applyAlignment="1" applyBorder="1" applyFont="1">
      <alignment horizontal="right" shrinkToFit="0" wrapText="1"/>
    </xf>
    <xf borderId="72" fillId="0" fontId="20" numFmtId="0" xfId="0" applyAlignment="1" applyBorder="1" applyFont="1">
      <alignment horizontal="left" readingOrder="1" shrinkToFit="0" vertical="center" wrapText="1"/>
    </xf>
    <xf borderId="56" fillId="0" fontId="36" numFmtId="0" xfId="0" applyAlignment="1" applyBorder="1" applyFont="1">
      <alignment vertical="center"/>
    </xf>
    <xf borderId="58" fillId="0" fontId="36" numFmtId="4" xfId="0" applyAlignment="1" applyBorder="1" applyFont="1" applyNumberFormat="1">
      <alignment horizontal="center" readingOrder="1" shrinkToFit="0" vertical="center" wrapText="1"/>
    </xf>
    <xf borderId="0" fillId="0" fontId="37" numFmtId="0" xfId="0" applyAlignment="1" applyFont="1">
      <alignment horizontal="center" vertical="top"/>
    </xf>
    <xf borderId="0" fillId="0" fontId="30" numFmtId="0" xfId="0" applyAlignment="1" applyFont="1">
      <alignment horizontal="left" vertical="top"/>
    </xf>
    <xf borderId="45" fillId="7" fontId="20" numFmtId="0" xfId="0" applyAlignment="1" applyBorder="1" applyFont="1">
      <alignment horizontal="left"/>
    </xf>
    <xf borderId="36" fillId="0" fontId="3" numFmtId="0" xfId="0" applyBorder="1" applyFont="1"/>
    <xf borderId="45" fillId="0" fontId="20" numFmtId="0" xfId="0" applyAlignment="1" applyBorder="1" applyFont="1">
      <alignment horizontal="left"/>
    </xf>
    <xf borderId="45" fillId="0" fontId="20" numFmtId="0" xfId="0" applyBorder="1" applyFont="1"/>
    <xf borderId="46" fillId="0" fontId="20" numFmtId="171" xfId="0" applyAlignment="1" applyBorder="1" applyFont="1" applyNumberFormat="1">
      <alignment horizontal="center"/>
    </xf>
    <xf borderId="39" fillId="7" fontId="20" numFmtId="0" xfId="0" applyBorder="1" applyFont="1"/>
    <xf borderId="43" fillId="7" fontId="20" numFmtId="0" xfId="0" applyBorder="1" applyFont="1"/>
    <xf borderId="37" fillId="7" fontId="20" numFmtId="0" xfId="0" applyBorder="1" applyFont="1"/>
    <xf borderId="1" fillId="0" fontId="20" numFmtId="0" xfId="0" applyAlignment="1" applyBorder="1" applyFont="1">
      <alignment vertical="top"/>
    </xf>
    <xf borderId="2" fillId="0" fontId="20" numFmtId="0" xfId="0" applyAlignment="1" applyBorder="1" applyFont="1">
      <alignment vertical="top"/>
    </xf>
    <xf borderId="3" fillId="0" fontId="20" numFmtId="0" xfId="0" applyAlignment="1" applyBorder="1" applyFont="1">
      <alignment vertical="top"/>
    </xf>
    <xf borderId="21" fillId="0" fontId="20" numFmtId="0" xfId="0" applyAlignment="1" applyBorder="1" applyFont="1">
      <alignment horizontal="center" vertical="top"/>
    </xf>
    <xf borderId="46" fillId="0" fontId="20" numFmtId="0" xfId="0" applyAlignment="1" applyBorder="1" applyFont="1">
      <alignment horizontal="left"/>
    </xf>
    <xf borderId="40" fillId="0" fontId="38" numFmtId="0" xfId="0" applyAlignment="1" applyBorder="1" applyFont="1">
      <alignment horizontal="center" vertical="center"/>
    </xf>
    <xf borderId="45" fillId="0" fontId="22" numFmtId="0" xfId="0" applyAlignment="1" applyBorder="1" applyFont="1">
      <alignment horizontal="center" vertical="center"/>
    </xf>
    <xf borderId="40" fillId="0" fontId="39" numFmtId="0" xfId="0" applyAlignment="1" applyBorder="1" applyFont="1">
      <alignment horizontal="center" vertical="center"/>
    </xf>
    <xf borderId="40" fillId="0" fontId="39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/>
    </xf>
    <xf borderId="2" fillId="0" fontId="22" numFmtId="0" xfId="0" applyAlignment="1" applyBorder="1" applyFont="1">
      <alignment horizontal="left"/>
    </xf>
    <xf borderId="2" fillId="0" fontId="20" numFmtId="0" xfId="0" applyAlignment="1" applyBorder="1" applyFont="1">
      <alignment horizontal="left"/>
    </xf>
    <xf borderId="2" fillId="0" fontId="20" numFmtId="0" xfId="0" applyAlignment="1" applyBorder="1" applyFont="1">
      <alignment horizontal="center"/>
    </xf>
    <xf borderId="2" fillId="0" fontId="40" numFmtId="0" xfId="0" applyAlignment="1" applyBorder="1" applyFont="1">
      <alignment horizontal="center"/>
    </xf>
    <xf borderId="2" fillId="0" fontId="22" numFmtId="0" xfId="0" applyAlignment="1" applyBorder="1" applyFont="1">
      <alignment horizontal="center"/>
    </xf>
    <xf borderId="2" fillId="0" fontId="22" numFmtId="165" xfId="0" applyAlignment="1" applyBorder="1" applyFont="1" applyNumberFormat="1">
      <alignment horizontal="center"/>
    </xf>
    <xf borderId="3" fillId="0" fontId="22" numFmtId="165" xfId="0" applyAlignment="1" applyBorder="1" applyFont="1" applyNumberFormat="1">
      <alignment horizontal="center"/>
    </xf>
    <xf borderId="6" fillId="0" fontId="22" numFmtId="0" xfId="0" applyAlignment="1" applyBorder="1" applyFont="1">
      <alignment horizontal="center"/>
    </xf>
    <xf borderId="0" fillId="0" fontId="20" numFmtId="0" xfId="0" applyAlignment="1" applyFont="1">
      <alignment horizontal="left"/>
    </xf>
    <xf borderId="0" fillId="0" fontId="20" numFmtId="0" xfId="0" applyAlignment="1" applyFont="1">
      <alignment horizontal="center"/>
    </xf>
    <xf borderId="0" fillId="0" fontId="40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22" numFmtId="165" xfId="0" applyAlignment="1" applyFont="1" applyNumberFormat="1">
      <alignment horizontal="center"/>
    </xf>
    <xf borderId="7" fillId="0" fontId="22" numFmtId="165" xfId="0" applyAlignment="1" applyBorder="1" applyFont="1" applyNumberFormat="1">
      <alignment horizontal="center"/>
    </xf>
    <xf borderId="0" fillId="0" fontId="20" numFmtId="0" xfId="0" applyAlignment="1" applyFont="1">
      <alignment horizontal="right"/>
    </xf>
    <xf borderId="0" fillId="0" fontId="22" numFmtId="0" xfId="0" applyAlignment="1" applyFont="1">
      <alignment horizontal="left"/>
    </xf>
    <xf borderId="21" fillId="0" fontId="22" numFmtId="0" xfId="0" applyAlignment="1" applyBorder="1" applyFont="1">
      <alignment horizontal="center"/>
    </xf>
    <xf borderId="22" fillId="0" fontId="20" numFmtId="0" xfId="0" applyAlignment="1" applyBorder="1" applyFont="1">
      <alignment horizontal="left"/>
    </xf>
    <xf borderId="22" fillId="0" fontId="20" numFmtId="0" xfId="0" applyAlignment="1" applyBorder="1" applyFont="1">
      <alignment horizontal="center"/>
    </xf>
    <xf borderId="22" fillId="0" fontId="40" numFmtId="0" xfId="0" applyAlignment="1" applyBorder="1" applyFont="1">
      <alignment horizontal="center"/>
    </xf>
    <xf borderId="22" fillId="0" fontId="22" numFmtId="0" xfId="0" applyAlignment="1" applyBorder="1" applyFont="1">
      <alignment horizontal="center"/>
    </xf>
    <xf borderId="22" fillId="0" fontId="22" numFmtId="165" xfId="0" applyAlignment="1" applyBorder="1" applyFont="1" applyNumberFormat="1">
      <alignment horizontal="center"/>
    </xf>
    <xf borderId="23" fillId="0" fontId="22" numFmtId="165" xfId="0" applyAlignment="1" applyBorder="1" applyFont="1" applyNumberFormat="1">
      <alignment horizontal="center"/>
    </xf>
    <xf borderId="2" fillId="0" fontId="22" numFmtId="0" xfId="0" applyAlignment="1" applyBorder="1" applyFont="1">
      <alignment horizontal="right"/>
    </xf>
    <xf borderId="73" fillId="0" fontId="22" numFmtId="170" xfId="0" applyAlignment="1" applyBorder="1" applyFont="1" applyNumberFormat="1">
      <alignment horizontal="center"/>
    </xf>
    <xf borderId="73" fillId="0" fontId="3" numFmtId="0" xfId="0" applyBorder="1" applyFont="1"/>
    <xf borderId="5" fillId="15" fontId="41" numFmtId="0" xfId="0" applyBorder="1" applyFill="1" applyFont="1"/>
    <xf borderId="5" fillId="15" fontId="20" numFmtId="0" xfId="0" applyBorder="1" applyFont="1"/>
    <xf borderId="0" fillId="0" fontId="22" numFmtId="0" xfId="0" applyAlignment="1" applyFont="1">
      <alignment horizontal="right"/>
    </xf>
    <xf borderId="0" fillId="0" fontId="22" numFmtId="170" xfId="0" applyAlignment="1" applyFont="1" applyNumberFormat="1">
      <alignment horizontal="center"/>
    </xf>
    <xf borderId="0" fillId="0" fontId="20" numFmtId="0" xfId="0" applyAlignment="1" applyFont="1">
      <alignment vertical="center"/>
    </xf>
    <xf borderId="0" fillId="0" fontId="22" numFmtId="0" xfId="0" applyAlignment="1" applyFont="1">
      <alignment horizontal="center"/>
    </xf>
    <xf borderId="0" fillId="0" fontId="38" numFmtId="0" xfId="0" applyAlignment="1" applyFont="1">
      <alignment horizontal="left" vertical="center"/>
    </xf>
    <xf borderId="0" fillId="0" fontId="42" numFmtId="0" xfId="0" applyAlignment="1" applyFont="1">
      <alignment horizontal="left"/>
    </xf>
    <xf borderId="0" fillId="0" fontId="42" numFmtId="0" xfId="0" applyFont="1"/>
    <xf borderId="0" fillId="0" fontId="42" numFmtId="0" xfId="0" applyAlignment="1" applyFont="1">
      <alignment horizontal="left" shrinkToFit="0" vertical="top" wrapText="1"/>
    </xf>
    <xf borderId="0" fillId="0" fontId="43" numFmtId="0" xfId="0" applyFont="1"/>
    <xf borderId="0" fillId="0" fontId="42" numFmtId="0" xfId="0" applyAlignment="1" applyFont="1">
      <alignment vertical="top"/>
    </xf>
    <xf borderId="0" fillId="0" fontId="44" numFmtId="0" xfId="0" applyFont="1"/>
    <xf borderId="0" fillId="0" fontId="45" numFmtId="0" xfId="0" applyFont="1"/>
    <xf borderId="0" fillId="0" fontId="42" numFmtId="0" xfId="0" applyAlignment="1" applyFont="1">
      <alignment horizontal="left" vertical="center"/>
    </xf>
    <xf borderId="0" fillId="0" fontId="46" numFmtId="0" xfId="0" applyAlignment="1" applyFont="1">
      <alignment horizontal="left" vertical="center"/>
    </xf>
    <xf borderId="0" fillId="0" fontId="45" numFmtId="0" xfId="0" applyAlignment="1" applyFont="1">
      <alignment horizontal="left"/>
    </xf>
    <xf borderId="40" fillId="0" fontId="35" numFmtId="0" xfId="0" applyBorder="1" applyFont="1"/>
    <xf borderId="45" fillId="0" fontId="35" numFmtId="0" xfId="0" applyAlignment="1" applyBorder="1" applyFont="1">
      <alignment horizontal="left"/>
    </xf>
    <xf borderId="45" fillId="0" fontId="35" numFmtId="0" xfId="0" applyAlignment="1" applyBorder="1" applyFont="1">
      <alignment horizontal="left" shrinkToFit="0" wrapText="1"/>
    </xf>
    <xf borderId="0" fillId="0" fontId="35" numFmtId="0" xfId="0" applyFont="1"/>
    <xf borderId="0" fillId="0" fontId="31" numFmtId="0" xfId="0" applyFont="1"/>
    <xf borderId="45" fillId="0" fontId="47" numFmtId="0" xfId="0" applyAlignment="1" applyBorder="1" applyFont="1">
      <alignment horizontal="left"/>
    </xf>
    <xf borderId="40" fillId="0" fontId="20" numFmtId="170" xfId="0" applyBorder="1" applyFont="1" applyNumberFormat="1"/>
    <xf borderId="40" fillId="0" fontId="20" numFmtId="0" xfId="0" applyBorder="1" applyFont="1"/>
    <xf borderId="45" fillId="0" fontId="35" numFmtId="0" xfId="0" applyBorder="1" applyFont="1"/>
    <xf quotePrefix="1" borderId="45" fillId="16" fontId="48" numFmtId="0" xfId="0" applyAlignment="1" applyBorder="1" applyFill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2" pivot="0" name="SUMMARY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657600" cy="514350"/>
    <xdr:pic>
      <xdr:nvPicPr>
        <xdr:cNvPr descr="SMPC LOGO (FINAL2)"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1095375</xdr:colOff>
      <xdr:row>0</xdr:row>
      <xdr:rowOff>0</xdr:rowOff>
    </xdr:from>
    <xdr:ext cx="1600200" cy="9239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657600" cy="514350"/>
    <xdr:pic>
      <xdr:nvPicPr>
        <xdr:cNvPr descr="SMPC LOGO (FINAL2)"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1095375</xdr:colOff>
      <xdr:row>0</xdr:row>
      <xdr:rowOff>0</xdr:rowOff>
    </xdr:from>
    <xdr:ext cx="1600200" cy="9239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657600" cy="514350"/>
    <xdr:pic>
      <xdr:nvPicPr>
        <xdr:cNvPr descr="SMPC LOGO (FINAL2)"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1095375</xdr:colOff>
      <xdr:row>0</xdr:row>
      <xdr:rowOff>0</xdr:rowOff>
    </xdr:from>
    <xdr:ext cx="1600200" cy="9239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40</xdr:row>
      <xdr:rowOff>219075</xdr:rowOff>
    </xdr:from>
    <xdr:ext cx="1323975" cy="695325"/>
    <xdr:pic>
      <xdr:nvPicPr>
        <xdr:cNvPr descr="sign ko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45</xdr:row>
      <xdr:rowOff>123825</xdr:rowOff>
    </xdr:from>
    <xdr:ext cx="876300" cy="733425"/>
    <xdr:pic>
      <xdr:nvPicPr>
        <xdr:cNvPr descr="sign - ron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57150</xdr:rowOff>
    </xdr:from>
    <xdr:ext cx="4648200" cy="781050"/>
    <xdr:pic>
      <xdr:nvPicPr>
        <xdr:cNvPr descr="SMPC LOGO (FINAL2)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9:L28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7.13"/>
    <col customWidth="1" min="3" max="3" width="3.88"/>
    <col customWidth="1" min="4" max="4" width="1.75"/>
    <col customWidth="1" min="5" max="7" width="3.63"/>
    <col customWidth="1" min="8" max="8" width="16.13"/>
    <col customWidth="1" min="9" max="9" width="14.88"/>
    <col customWidth="1" min="10" max="10" width="20.38"/>
    <col customWidth="1" min="11" max="11" width="5.88"/>
    <col customWidth="1" min="12" max="12" width="6.38"/>
    <col customWidth="1" min="13" max="13" width="12.5"/>
    <col customWidth="1" min="14" max="14" width="15.5"/>
    <col customWidth="1" min="15" max="15" width="2.75"/>
    <col customWidth="1" min="16" max="20" width="12.38"/>
    <col customWidth="1" min="21" max="25" width="12.0"/>
    <col customWidth="1" min="26" max="26" width="9.63"/>
    <col customWidth="1" min="27" max="27" width="11.63"/>
    <col customWidth="1" min="28" max="32" width="11.0"/>
    <col customWidth="1" min="33" max="33" width="10.75"/>
    <col customWidth="1" min="34" max="35" width="11.88"/>
    <col customWidth="1" min="36" max="36" width="10.63"/>
    <col customWidth="1" min="37" max="37" width="9.63"/>
    <col customWidth="1" min="38" max="39" width="7.75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7"/>
      <c r="AB1" s="6"/>
      <c r="AC1" s="6"/>
      <c r="AD1" s="6"/>
      <c r="AE1" s="6"/>
      <c r="AF1" s="6"/>
      <c r="AG1" s="6"/>
      <c r="AH1" s="6"/>
      <c r="AI1" s="6"/>
      <c r="AJ1" s="6"/>
      <c r="AK1" s="8"/>
      <c r="AL1" s="8"/>
      <c r="AM1" s="8"/>
    </row>
    <row r="2" ht="12.75" customHeight="1">
      <c r="A2" s="9"/>
      <c r="B2" s="4"/>
      <c r="C2" s="4"/>
      <c r="D2" s="4"/>
      <c r="E2" s="4"/>
      <c r="F2" s="4"/>
      <c r="G2" s="4"/>
      <c r="H2" s="4"/>
      <c r="I2" s="4"/>
      <c r="J2" s="4"/>
      <c r="K2" s="4"/>
      <c r="L2" s="10" t="s">
        <v>0</v>
      </c>
      <c r="M2" s="11">
        <v>46119.0</v>
      </c>
      <c r="N2" s="12"/>
      <c r="O2" s="4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6"/>
      <c r="AC2" s="6"/>
      <c r="AD2" s="6"/>
      <c r="AE2" s="6"/>
      <c r="AF2" s="6"/>
      <c r="AG2" s="6"/>
      <c r="AH2" s="6"/>
      <c r="AI2" s="6"/>
      <c r="AJ2" s="6"/>
      <c r="AK2" s="8"/>
      <c r="AL2" s="8"/>
      <c r="AM2" s="8"/>
    </row>
    <row r="3" ht="12.75" customHeight="1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3"/>
      <c r="O3" s="4"/>
      <c r="P3" s="5"/>
      <c r="Q3" s="14"/>
      <c r="R3" s="14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8"/>
      <c r="AL3" s="8"/>
      <c r="AM3" s="8"/>
    </row>
    <row r="4" ht="12.75" customHeight="1">
      <c r="A4" s="15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10" t="s">
        <v>2</v>
      </c>
      <c r="M4" s="16" t="s">
        <v>3</v>
      </c>
      <c r="N4" s="12"/>
      <c r="O4" s="4"/>
      <c r="P4" s="17"/>
      <c r="Q4" s="18" t="s">
        <v>4</v>
      </c>
      <c r="R4" s="19"/>
      <c r="S4" s="20"/>
      <c r="T4" s="6"/>
      <c r="U4" s="6"/>
      <c r="V4" s="6"/>
      <c r="W4" s="6"/>
      <c r="X4" s="6"/>
      <c r="Y4" s="6"/>
      <c r="Z4" s="6"/>
      <c r="AA4" s="7"/>
      <c r="AB4" s="6"/>
      <c r="AC4" s="6"/>
      <c r="AD4" s="6"/>
      <c r="AE4" s="6"/>
      <c r="AF4" s="6"/>
      <c r="AG4" s="6"/>
      <c r="AH4" s="6"/>
      <c r="AI4" s="6"/>
      <c r="AJ4" s="6"/>
      <c r="AK4" s="8"/>
      <c r="AL4" s="8"/>
      <c r="AM4" s="8"/>
    </row>
    <row r="5" ht="12.75" customHeight="1">
      <c r="A5" s="21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10" t="s">
        <v>6</v>
      </c>
      <c r="M5" s="22"/>
      <c r="N5" s="12"/>
      <c r="O5" s="4"/>
      <c r="P5" s="17"/>
      <c r="Q5" s="23" t="s">
        <v>7</v>
      </c>
      <c r="R5" s="24"/>
      <c r="S5" s="20"/>
      <c r="T5" s="6"/>
      <c r="U5" s="6"/>
      <c r="V5" s="6"/>
      <c r="W5" s="6"/>
      <c r="X5" s="6"/>
      <c r="Y5" s="6"/>
      <c r="Z5" s="6"/>
      <c r="AA5" s="7"/>
      <c r="AB5" s="6"/>
      <c r="AC5" s="6"/>
      <c r="AD5" s="6"/>
      <c r="AE5" s="6"/>
      <c r="AF5" s="6"/>
      <c r="AG5" s="6"/>
      <c r="AH5" s="6"/>
      <c r="AI5" s="6"/>
      <c r="AJ5" s="6"/>
      <c r="AK5" s="8"/>
      <c r="AL5" s="8"/>
      <c r="AM5" s="8"/>
    </row>
    <row r="6" ht="12.75" customHeight="1">
      <c r="A6" s="2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3"/>
      <c r="O6" s="4"/>
      <c r="P6" s="17"/>
      <c r="Q6" s="23" t="s">
        <v>8</v>
      </c>
      <c r="R6" s="24"/>
      <c r="S6" s="20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8"/>
      <c r="AL6" s="8"/>
      <c r="AM6" s="8"/>
    </row>
    <row r="7" ht="13.5" customHeight="1">
      <c r="A7" s="9" t="s">
        <v>9</v>
      </c>
      <c r="B7" s="25"/>
      <c r="C7" s="26" t="s">
        <v>10</v>
      </c>
      <c r="D7" s="27" t="s">
        <v>11</v>
      </c>
      <c r="E7" s="26"/>
      <c r="F7" s="26"/>
      <c r="G7" s="26"/>
      <c r="H7" s="26"/>
      <c r="I7" s="26"/>
      <c r="J7" s="26"/>
      <c r="K7" s="26"/>
      <c r="L7" s="26"/>
      <c r="M7" s="26"/>
      <c r="N7" s="28"/>
      <c r="O7" s="4"/>
      <c r="P7" s="17"/>
      <c r="Q7" s="29"/>
      <c r="R7" s="30"/>
      <c r="S7" s="20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8"/>
      <c r="AL7" s="8"/>
      <c r="AM7" s="8"/>
    </row>
    <row r="8" hidden="1">
      <c r="A8" s="9" t="s">
        <v>12</v>
      </c>
      <c r="B8" s="4" t="s">
        <v>13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3"/>
      <c r="O8" s="4"/>
      <c r="P8" s="5"/>
      <c r="Q8" s="31"/>
      <c r="R8" s="31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8"/>
      <c r="AL8" s="8"/>
      <c r="AM8" s="8"/>
    </row>
    <row r="9" hidden="1">
      <c r="A9" s="9" t="s">
        <v>14</v>
      </c>
      <c r="B9" s="4" t="s">
        <v>15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3"/>
      <c r="O9" s="4"/>
      <c r="P9" s="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8"/>
      <c r="AL9" s="8"/>
      <c r="AM9" s="8"/>
    </row>
    <row r="10" ht="12.75" customHeight="1">
      <c r="A10" s="9"/>
      <c r="B10" s="4"/>
      <c r="C10" s="4"/>
      <c r="D10" s="4"/>
      <c r="E10" s="4"/>
      <c r="F10" s="4"/>
      <c r="G10" s="4"/>
      <c r="H10" s="4"/>
      <c r="I10" s="4"/>
      <c r="J10" s="32"/>
      <c r="K10" s="4"/>
      <c r="L10" s="4"/>
      <c r="M10" s="4"/>
      <c r="N10" s="13"/>
      <c r="O10" s="4"/>
      <c r="P10" s="5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8"/>
      <c r="AL10" s="8"/>
      <c r="AM10" s="8"/>
    </row>
    <row r="11" ht="12.75" customHeight="1">
      <c r="A11" s="33" t="s">
        <v>16</v>
      </c>
      <c r="B11" s="26"/>
      <c r="C11" s="26" t="s">
        <v>10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4"/>
      <c r="P11" s="5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8"/>
      <c r="AL11" s="8"/>
      <c r="AM11" s="8"/>
    </row>
    <row r="12" ht="12.75" customHeight="1">
      <c r="A12" s="33" t="s">
        <v>17</v>
      </c>
      <c r="B12" s="26"/>
      <c r="C12" s="26" t="s">
        <v>10</v>
      </c>
      <c r="D12" s="34"/>
      <c r="E12" s="4"/>
      <c r="F12" s="4"/>
      <c r="G12" s="4"/>
      <c r="H12" s="4"/>
      <c r="I12" s="4"/>
      <c r="J12" s="4"/>
      <c r="K12" s="4"/>
      <c r="L12" s="4"/>
      <c r="M12" s="4"/>
      <c r="N12" s="13"/>
      <c r="O12" s="4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7"/>
      <c r="AB12" s="6"/>
      <c r="AC12" s="6"/>
      <c r="AD12" s="6"/>
      <c r="AE12" s="6"/>
      <c r="AF12" s="6"/>
      <c r="AG12" s="6"/>
      <c r="AH12" s="6"/>
      <c r="AI12" s="6"/>
      <c r="AJ12" s="6"/>
      <c r="AK12" s="8"/>
      <c r="AL12" s="8"/>
      <c r="AM12" s="8"/>
    </row>
    <row r="13" ht="12.75" customHeight="1">
      <c r="A13" s="33"/>
      <c r="B13" s="26"/>
      <c r="C13" s="26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5"/>
      <c r="O13" s="4"/>
      <c r="P13" s="5"/>
      <c r="Q13" s="6"/>
      <c r="R13" s="6"/>
      <c r="S13" s="6"/>
      <c r="T13" s="6"/>
      <c r="U13" s="6"/>
      <c r="V13" s="6"/>
      <c r="W13" s="6"/>
      <c r="X13" s="6"/>
      <c r="Y13" s="6"/>
      <c r="Z13" s="6"/>
      <c r="AA13" s="7"/>
      <c r="AB13" s="6"/>
      <c r="AC13" s="6"/>
      <c r="AD13" s="6"/>
      <c r="AE13" s="6"/>
      <c r="AF13" s="6"/>
      <c r="AG13" s="6"/>
      <c r="AH13" s="6"/>
      <c r="AI13" s="6"/>
      <c r="AJ13" s="6"/>
      <c r="AK13" s="8"/>
      <c r="AL13" s="8"/>
      <c r="AM13" s="8"/>
    </row>
    <row r="14" ht="12.75" customHeight="1">
      <c r="A14" s="33" t="s">
        <v>18</v>
      </c>
      <c r="B14" s="26"/>
      <c r="C14" s="26" t="s">
        <v>10</v>
      </c>
      <c r="D14" s="36" t="s">
        <v>19</v>
      </c>
      <c r="N14" s="28"/>
      <c r="O14" s="4"/>
      <c r="P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7"/>
      <c r="AB14" s="6"/>
      <c r="AC14" s="6"/>
      <c r="AD14" s="6"/>
      <c r="AE14" s="6"/>
      <c r="AF14" s="6"/>
      <c r="AG14" s="6"/>
      <c r="AH14" s="6"/>
      <c r="AI14" s="6"/>
      <c r="AJ14" s="6"/>
      <c r="AK14" s="8"/>
      <c r="AL14" s="8"/>
      <c r="AM14" s="8"/>
    </row>
    <row r="15" ht="12.75" customHeight="1">
      <c r="A15" s="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3"/>
      <c r="O15" s="4"/>
      <c r="P15" s="37"/>
      <c r="Q15" s="38"/>
      <c r="R15" s="38"/>
      <c r="S15" s="38"/>
      <c r="T15" s="6"/>
      <c r="U15" s="6"/>
      <c r="V15" s="6"/>
      <c r="W15" s="6"/>
      <c r="X15" s="6"/>
      <c r="Y15" s="6"/>
      <c r="Z15" s="6"/>
      <c r="AA15" s="7"/>
      <c r="AB15" s="6"/>
      <c r="AC15" s="6"/>
      <c r="AD15" s="6"/>
      <c r="AE15" s="39" t="s">
        <v>20</v>
      </c>
      <c r="AF15" s="40">
        <v>1.0</v>
      </c>
      <c r="AG15" s="6"/>
      <c r="AH15" s="6"/>
      <c r="AI15" s="6"/>
      <c r="AJ15" s="6"/>
      <c r="AK15" s="8"/>
      <c r="AL15" s="8"/>
      <c r="AM15" s="8"/>
    </row>
    <row r="16">
      <c r="A16" s="41" t="s">
        <v>21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3"/>
      <c r="O16" s="4"/>
      <c r="P16" s="44">
        <v>0.25</v>
      </c>
      <c r="Q16" s="45" t="s">
        <v>22</v>
      </c>
      <c r="R16" s="38"/>
      <c r="S16" s="38"/>
      <c r="T16" s="38"/>
      <c r="U16" s="38"/>
      <c r="V16" s="38"/>
      <c r="W16" s="38"/>
      <c r="X16" s="38"/>
      <c r="Y16" s="38"/>
      <c r="Z16" s="6"/>
      <c r="AA16" s="7"/>
      <c r="AB16" s="6"/>
      <c r="AC16" s="6"/>
      <c r="AD16" s="6"/>
      <c r="AE16" s="39" t="s">
        <v>23</v>
      </c>
      <c r="AF16" s="46">
        <f>0.01*AF15</f>
        <v>0.01</v>
      </c>
      <c r="AG16" s="38"/>
      <c r="AH16" s="6"/>
      <c r="AI16" s="47" t="s">
        <v>24</v>
      </c>
      <c r="AJ16" s="46"/>
      <c r="AK16" s="8"/>
      <c r="AL16" s="8"/>
      <c r="AM16" s="8"/>
    </row>
    <row r="17" ht="12.75" customHeight="1">
      <c r="A17" s="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3"/>
      <c r="O17" s="4"/>
      <c r="P17" s="48" t="s">
        <v>25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50"/>
      <c r="AK17" s="8"/>
      <c r="AL17" s="8"/>
      <c r="AM17" s="8"/>
    </row>
    <row r="18" ht="12.75" customHeight="1">
      <c r="A18" s="9" t="s">
        <v>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3"/>
      <c r="AK18" s="8"/>
      <c r="AL18" s="8"/>
      <c r="AM18" s="8"/>
    </row>
    <row r="19" ht="7.5" customHeight="1">
      <c r="A19" s="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4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7"/>
      <c r="AJ19" s="8"/>
      <c r="AK19" s="8"/>
      <c r="AL19" s="8"/>
      <c r="AM19" s="8"/>
    </row>
    <row r="20" ht="58.5" customHeight="1">
      <c r="A20" s="58" t="s">
        <v>27</v>
      </c>
      <c r="B20" s="59" t="s">
        <v>28</v>
      </c>
      <c r="C20" s="42"/>
      <c r="D20" s="42"/>
      <c r="E20" s="42"/>
      <c r="F20" s="42"/>
      <c r="G20" s="42"/>
      <c r="H20" s="42"/>
      <c r="I20" s="42"/>
      <c r="J20" s="43"/>
      <c r="K20" s="60" t="s">
        <v>29</v>
      </c>
      <c r="L20" s="43"/>
      <c r="M20" s="58" t="s">
        <v>30</v>
      </c>
      <c r="N20" s="61" t="s">
        <v>31</v>
      </c>
      <c r="O20" s="54"/>
      <c r="P20" s="62" t="s">
        <v>32</v>
      </c>
      <c r="Q20" s="62" t="s">
        <v>33</v>
      </c>
      <c r="R20" s="62" t="s">
        <v>34</v>
      </c>
      <c r="S20" s="62" t="s">
        <v>35</v>
      </c>
      <c r="T20" s="62" t="s">
        <v>36</v>
      </c>
      <c r="U20" s="62" t="s">
        <v>37</v>
      </c>
      <c r="V20" s="62" t="s">
        <v>38</v>
      </c>
      <c r="W20" s="62" t="s">
        <v>39</v>
      </c>
      <c r="X20" s="63" t="s">
        <v>40</v>
      </c>
      <c r="Y20" s="63" t="s">
        <v>41</v>
      </c>
      <c r="Z20" s="63" t="s">
        <v>42</v>
      </c>
      <c r="AA20" s="63" t="s">
        <v>43</v>
      </c>
      <c r="AB20" s="64" t="s">
        <v>44</v>
      </c>
      <c r="AC20" s="65" t="s">
        <v>23</v>
      </c>
      <c r="AD20" s="66" t="s">
        <v>45</v>
      </c>
      <c r="AE20" s="67" t="s">
        <v>46</v>
      </c>
      <c r="AF20" s="67" t="s">
        <v>47</v>
      </c>
      <c r="AG20" s="65" t="s">
        <v>48</v>
      </c>
      <c r="AH20" s="66" t="s">
        <v>49</v>
      </c>
      <c r="AI20" s="67" t="s">
        <v>50</v>
      </c>
      <c r="AJ20" s="67" t="s">
        <v>51</v>
      </c>
      <c r="AK20" s="8"/>
      <c r="AL20" s="8"/>
      <c r="AM20" s="8"/>
    </row>
    <row r="21">
      <c r="A21" s="68"/>
      <c r="B21" s="69"/>
      <c r="C21" s="69"/>
      <c r="D21" s="70"/>
      <c r="E21" s="70"/>
      <c r="F21" s="70"/>
      <c r="G21" s="70"/>
      <c r="H21" s="70"/>
      <c r="I21" s="70"/>
      <c r="J21" s="70"/>
      <c r="K21" s="71"/>
      <c r="L21" s="72"/>
      <c r="M21" s="73"/>
      <c r="N21" s="74"/>
      <c r="O21" s="54"/>
      <c r="P21" s="75"/>
      <c r="Q21" s="75"/>
      <c r="R21" s="75"/>
      <c r="S21" s="75"/>
      <c r="T21" s="75"/>
      <c r="U21" s="75"/>
      <c r="V21" s="75"/>
      <c r="W21" s="75"/>
      <c r="X21" s="76"/>
      <c r="Y21" s="76"/>
      <c r="Z21" s="76"/>
      <c r="AA21" s="77"/>
      <c r="AB21" s="78"/>
      <c r="AC21" s="79"/>
      <c r="AD21" s="79"/>
      <c r="AE21" s="80"/>
      <c r="AF21" s="81"/>
      <c r="AG21" s="79"/>
      <c r="AH21" s="79"/>
      <c r="AI21" s="80"/>
      <c r="AJ21" s="81"/>
      <c r="AK21" s="8"/>
      <c r="AL21" s="8"/>
      <c r="AM21" s="8"/>
    </row>
    <row r="22">
      <c r="A22" s="82">
        <v>1.0</v>
      </c>
      <c r="B22" s="83" t="s">
        <v>52</v>
      </c>
      <c r="C22" s="84"/>
      <c r="D22" s="84"/>
      <c r="E22" s="84"/>
      <c r="F22" s="84"/>
      <c r="G22" s="84"/>
      <c r="H22" s="85"/>
      <c r="I22" s="86"/>
      <c r="J22" s="87"/>
      <c r="K22" s="88">
        <v>30.0</v>
      </c>
      <c r="L22" s="89" t="s">
        <v>53</v>
      </c>
      <c r="M22" s="90">
        <f>ROUNDUP(Z22+AC22+AG22,-2)</f>
        <v>4000</v>
      </c>
      <c r="N22" s="91">
        <f>M22*K22</f>
        <v>120000</v>
      </c>
      <c r="O22" s="54"/>
      <c r="P22" s="92">
        <f>2172.5+612.5</f>
        <v>2785</v>
      </c>
      <c r="Q22" s="92">
        <f>P22*1.03</f>
        <v>2868.55</v>
      </c>
      <c r="R22" s="92">
        <f>Q22*1.015</f>
        <v>2911.57825</v>
      </c>
      <c r="S22" s="92">
        <f>R22*K22</f>
        <v>87347.3475</v>
      </c>
      <c r="T22" s="92">
        <f>R22/(1-$P$16)</f>
        <v>3882.104333</v>
      </c>
      <c r="U22" s="92">
        <f>(T22-R22)/1.12*K22</f>
        <v>25996.23438</v>
      </c>
      <c r="V22" s="92">
        <f>R22/(1-$P$16)</f>
        <v>3882.104333</v>
      </c>
      <c r="W22" s="92">
        <f>(V22-R22)/1.12</f>
        <v>866.5411458</v>
      </c>
      <c r="X22" s="93">
        <f>W22*0.12</f>
        <v>103.9849375</v>
      </c>
      <c r="Y22" s="93">
        <f>U22*0.12</f>
        <v>3119.548125</v>
      </c>
      <c r="Z22" s="94">
        <f>R22+W22+X22</f>
        <v>3882.104333</v>
      </c>
      <c r="AA22" s="95">
        <f>S22+U22+Y22</f>
        <v>116463.13</v>
      </c>
      <c r="AB22" s="96">
        <f>(W22+X22)/Z22</f>
        <v>0.25</v>
      </c>
      <c r="AC22" s="97">
        <f>Z22*$AF$16</f>
        <v>38.82104333</v>
      </c>
      <c r="AD22" s="97">
        <f>(AC22)/1.12</f>
        <v>34.66164583</v>
      </c>
      <c r="AE22" s="98">
        <f>(AC22/1.12)*0.12</f>
        <v>4.1593975</v>
      </c>
      <c r="AF22" s="99">
        <f>AC22*K22</f>
        <v>1164.6313</v>
      </c>
      <c r="AG22" s="97">
        <f>(Z22+AC22)*$AJ$16</f>
        <v>0</v>
      </c>
      <c r="AH22" s="97">
        <f>(AG22)/1.12</f>
        <v>0</v>
      </c>
      <c r="AI22" s="98">
        <f>(AG22/1.12)*0.12</f>
        <v>0</v>
      </c>
      <c r="AJ22" s="99">
        <f>AG22*K22</f>
        <v>0</v>
      </c>
      <c r="AK22" s="100"/>
      <c r="AL22" s="8"/>
      <c r="AM22" s="8"/>
      <c r="AN22" s="101"/>
      <c r="AO22" s="101"/>
    </row>
    <row r="23">
      <c r="A23" s="102"/>
      <c r="B23" s="85" t="s">
        <v>54</v>
      </c>
      <c r="C23" s="85"/>
      <c r="D23" s="85"/>
      <c r="E23" s="85"/>
      <c r="F23" s="85"/>
      <c r="G23" s="85"/>
      <c r="H23" s="85"/>
      <c r="I23" s="86"/>
      <c r="J23" s="87"/>
      <c r="K23" s="103"/>
      <c r="L23" s="72"/>
      <c r="M23" s="74"/>
      <c r="N23" s="74"/>
      <c r="O23" s="54"/>
      <c r="P23" s="104"/>
      <c r="Q23" s="105"/>
      <c r="R23" s="105"/>
      <c r="S23" s="105"/>
      <c r="T23" s="105"/>
      <c r="U23" s="106"/>
      <c r="V23" s="105"/>
      <c r="W23" s="106"/>
      <c r="X23" s="107"/>
      <c r="Y23" s="107"/>
      <c r="Z23" s="108"/>
      <c r="AA23" s="109"/>
      <c r="AB23" s="110"/>
      <c r="AC23" s="79"/>
      <c r="AD23" s="79"/>
      <c r="AE23" s="111"/>
      <c r="AF23" s="81"/>
      <c r="AG23" s="79"/>
      <c r="AH23" s="79"/>
      <c r="AI23" s="111"/>
      <c r="AJ23" s="81"/>
      <c r="AK23" s="8"/>
      <c r="AL23" s="8"/>
      <c r="AM23" s="8"/>
      <c r="AN23" s="101"/>
      <c r="AO23" s="101"/>
    </row>
    <row r="24">
      <c r="A24" s="102"/>
      <c r="B24" s="85" t="s">
        <v>55</v>
      </c>
      <c r="C24" s="85"/>
      <c r="D24" s="85"/>
      <c r="E24" s="85"/>
      <c r="F24" s="85"/>
      <c r="G24" s="85"/>
      <c r="H24" s="85"/>
      <c r="I24" s="86"/>
      <c r="J24" s="87"/>
      <c r="K24" s="103"/>
      <c r="L24" s="72"/>
      <c r="M24" s="74"/>
      <c r="N24" s="74"/>
      <c r="O24" s="54"/>
      <c r="P24" s="104"/>
      <c r="Q24" s="105"/>
      <c r="R24" s="105"/>
      <c r="S24" s="105"/>
      <c r="T24" s="105"/>
      <c r="U24" s="106"/>
      <c r="V24" s="105"/>
      <c r="W24" s="106"/>
      <c r="X24" s="107"/>
      <c r="Y24" s="107"/>
      <c r="Z24" s="108"/>
      <c r="AA24" s="109"/>
      <c r="AB24" s="110"/>
      <c r="AC24" s="79"/>
      <c r="AD24" s="79"/>
      <c r="AE24" s="111"/>
      <c r="AF24" s="81"/>
      <c r="AG24" s="79"/>
      <c r="AH24" s="79"/>
      <c r="AI24" s="111"/>
      <c r="AJ24" s="81"/>
      <c r="AK24" s="8"/>
      <c r="AL24" s="8"/>
      <c r="AM24" s="8"/>
      <c r="AN24" s="101"/>
      <c r="AO24" s="101"/>
    </row>
    <row r="25">
      <c r="A25" s="102"/>
      <c r="B25" s="85" t="s">
        <v>56</v>
      </c>
      <c r="C25" s="85"/>
      <c r="D25" s="85"/>
      <c r="E25" s="85"/>
      <c r="F25" s="85"/>
      <c r="G25" s="85"/>
      <c r="H25" s="85"/>
      <c r="I25" s="85"/>
      <c r="J25" s="87"/>
      <c r="K25" s="103"/>
      <c r="L25" s="72"/>
      <c r="M25" s="74"/>
      <c r="N25" s="74"/>
      <c r="O25" s="54"/>
      <c r="P25" s="104"/>
      <c r="Q25" s="105"/>
      <c r="R25" s="105"/>
      <c r="S25" s="105"/>
      <c r="T25" s="105"/>
      <c r="U25" s="106"/>
      <c r="V25" s="105"/>
      <c r="W25" s="106"/>
      <c r="X25" s="107"/>
      <c r="Y25" s="107"/>
      <c r="Z25" s="108"/>
      <c r="AA25" s="109"/>
      <c r="AB25" s="110"/>
      <c r="AC25" s="79"/>
      <c r="AD25" s="79"/>
      <c r="AE25" s="111"/>
      <c r="AF25" s="81"/>
      <c r="AG25" s="79"/>
      <c r="AH25" s="79"/>
      <c r="AI25" s="111"/>
      <c r="AJ25" s="81"/>
      <c r="AK25" s="8"/>
      <c r="AL25" s="8"/>
      <c r="AM25" s="8"/>
      <c r="AN25" s="101"/>
      <c r="AO25" s="101"/>
    </row>
    <row r="26">
      <c r="A26" s="102"/>
      <c r="B26" s="85"/>
      <c r="C26" s="85"/>
      <c r="D26" s="85"/>
      <c r="E26" s="85"/>
      <c r="F26" s="85"/>
      <c r="G26" s="85"/>
      <c r="H26" s="85"/>
      <c r="I26" s="85"/>
      <c r="J26" s="87"/>
      <c r="K26" s="103"/>
      <c r="L26" s="72"/>
      <c r="M26" s="74"/>
      <c r="N26" s="74"/>
      <c r="O26" s="54"/>
      <c r="P26" s="104"/>
      <c r="Q26" s="105"/>
      <c r="R26" s="105"/>
      <c r="S26" s="105"/>
      <c r="T26" s="105"/>
      <c r="U26" s="106"/>
      <c r="V26" s="105"/>
      <c r="W26" s="106"/>
      <c r="X26" s="107"/>
      <c r="Y26" s="107"/>
      <c r="Z26" s="108"/>
      <c r="AA26" s="109"/>
      <c r="AB26" s="110"/>
      <c r="AC26" s="79"/>
      <c r="AD26" s="79"/>
      <c r="AE26" s="111"/>
      <c r="AF26" s="81"/>
      <c r="AG26" s="79"/>
      <c r="AH26" s="79"/>
      <c r="AI26" s="111"/>
      <c r="AJ26" s="81"/>
      <c r="AK26" s="8"/>
      <c r="AL26" s="8"/>
      <c r="AM26" s="8"/>
      <c r="AN26" s="101"/>
      <c r="AO26" s="101"/>
    </row>
    <row r="27" ht="13.5" customHeight="1">
      <c r="A27" s="68"/>
      <c r="B27" s="112" t="s">
        <v>57</v>
      </c>
      <c r="J27" s="12"/>
      <c r="K27" s="113"/>
      <c r="L27" s="114"/>
      <c r="M27" s="115"/>
      <c r="N27" s="116"/>
      <c r="O27" s="54"/>
      <c r="P27" s="117">
        <f>S27-R27-Q27</f>
        <v>83416.71686</v>
      </c>
      <c r="Q27" s="117">
        <f>S27*0.03</f>
        <v>2620.420425</v>
      </c>
      <c r="R27" s="117">
        <f>S27*0.015</f>
        <v>1310.210213</v>
      </c>
      <c r="S27" s="117">
        <f>SUM(S20:S26)</f>
        <v>87347.3475</v>
      </c>
      <c r="T27" s="118"/>
      <c r="U27" s="118">
        <f>SUM(U21:U26)</f>
        <v>25996.23438</v>
      </c>
      <c r="V27" s="118"/>
      <c r="W27" s="118">
        <f>SUM(W21:W26)</f>
        <v>866.5411458</v>
      </c>
      <c r="X27" s="107"/>
      <c r="Y27" s="107"/>
      <c r="Z27" s="119" t="s">
        <v>58</v>
      </c>
      <c r="AA27" s="119">
        <f>SUM(AA21:AA26)</f>
        <v>116463.13</v>
      </c>
      <c r="AB27" s="120"/>
      <c r="AC27" s="121"/>
      <c r="AD27" s="121"/>
      <c r="AE27" s="121"/>
      <c r="AF27" s="121"/>
      <c r="AG27" s="122" t="s">
        <v>59</v>
      </c>
      <c r="AH27" s="123">
        <f>SUM(AG21:AG26)</f>
        <v>0</v>
      </c>
      <c r="AI27" s="124">
        <f t="shared" ref="AI27:AJ27" si="1">SUM(AI21:AI26)</f>
        <v>0</v>
      </c>
      <c r="AJ27" s="123">
        <f t="shared" si="1"/>
        <v>0</v>
      </c>
      <c r="AK27" s="8"/>
      <c r="AL27" s="8"/>
      <c r="AM27" s="8"/>
    </row>
    <row r="28">
      <c r="A28" s="125"/>
      <c r="B28" s="126"/>
      <c r="C28" s="52"/>
      <c r="D28" s="52"/>
      <c r="E28" s="52"/>
      <c r="F28" s="52"/>
      <c r="G28" s="52"/>
      <c r="H28" s="52"/>
      <c r="I28" s="127"/>
      <c r="J28" s="128"/>
      <c r="K28" s="113"/>
      <c r="L28" s="114"/>
      <c r="M28" s="129"/>
      <c r="N28" s="115"/>
      <c r="O28" s="26"/>
      <c r="P28" s="130" t="s">
        <v>60</v>
      </c>
      <c r="Q28" s="130" t="s">
        <v>61</v>
      </c>
      <c r="R28" s="130" t="s">
        <v>34</v>
      </c>
      <c r="S28" s="130" t="s">
        <v>62</v>
      </c>
      <c r="T28" s="131"/>
      <c r="U28" s="131"/>
      <c r="V28" s="131"/>
      <c r="W28" s="131"/>
      <c r="X28" s="131"/>
      <c r="Y28" s="132"/>
      <c r="Z28" s="132"/>
      <c r="AA28" s="133"/>
      <c r="AB28" s="134"/>
      <c r="AC28" s="134"/>
      <c r="AD28" s="134"/>
      <c r="AE28" s="134"/>
      <c r="AF28" s="134"/>
      <c r="AG28" s="135"/>
      <c r="AH28" s="135"/>
      <c r="AI28" s="136"/>
      <c r="AJ28" s="137"/>
      <c r="AK28" s="138"/>
      <c r="AL28" s="138"/>
      <c r="AM28" s="138"/>
    </row>
    <row r="29">
      <c r="A29" s="139"/>
      <c r="B29" s="140"/>
      <c r="C29" s="140"/>
      <c r="D29" s="140"/>
      <c r="E29" s="140"/>
      <c r="F29" s="140"/>
      <c r="G29" s="140"/>
      <c r="H29" s="140"/>
      <c r="I29" s="140"/>
      <c r="J29" s="140"/>
      <c r="K29" s="141" t="s">
        <v>63</v>
      </c>
      <c r="L29" s="142"/>
      <c r="M29" s="142"/>
      <c r="N29" s="143">
        <f>SUM(N21:N28)</f>
        <v>120000</v>
      </c>
      <c r="O29" s="14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  <c r="AB29" s="6"/>
      <c r="AC29" s="6"/>
      <c r="AD29" s="6"/>
      <c r="AE29" s="6"/>
      <c r="AF29" s="6"/>
      <c r="AG29" s="6"/>
      <c r="AH29" s="6"/>
      <c r="AI29" s="6"/>
      <c r="AJ29" s="6"/>
      <c r="AK29" s="8"/>
      <c r="AL29" s="8"/>
      <c r="AM29" s="8"/>
    </row>
    <row r="30">
      <c r="A30" s="4"/>
      <c r="B30" s="4"/>
      <c r="C30" s="145"/>
      <c r="D30" s="146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"/>
      <c r="P30" s="5"/>
      <c r="Q30" s="6"/>
      <c r="R30" s="6"/>
      <c r="S30" s="6"/>
      <c r="T30" s="6"/>
      <c r="U30" s="6"/>
      <c r="V30" s="6"/>
      <c r="W30" s="6"/>
      <c r="X30" s="6"/>
      <c r="Y30" s="6"/>
      <c r="Z30" s="6"/>
      <c r="AA30" s="7"/>
      <c r="AB30" s="6"/>
      <c r="AC30" s="6"/>
      <c r="AD30" s="6"/>
      <c r="AE30" s="6"/>
      <c r="AF30" s="6"/>
      <c r="AG30" s="6"/>
      <c r="AH30" s="6"/>
      <c r="AI30" s="6"/>
      <c r="AJ30" s="6"/>
      <c r="AK30" s="8"/>
      <c r="AL30" s="8"/>
      <c r="AM30" s="8"/>
    </row>
    <row r="31">
      <c r="A31" s="26" t="s">
        <v>64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  <c r="Q31" s="6"/>
      <c r="R31" s="6"/>
      <c r="S31" s="6"/>
      <c r="T31" s="6"/>
      <c r="U31" s="6"/>
      <c r="V31" s="6"/>
      <c r="W31" s="6"/>
      <c r="X31" s="6"/>
      <c r="Y31" s="6"/>
      <c r="Z31" s="147"/>
      <c r="AA31" s="7"/>
      <c r="AB31" s="6"/>
      <c r="AC31" s="6"/>
      <c r="AD31" s="6"/>
      <c r="AE31" s="6"/>
      <c r="AF31" s="6"/>
      <c r="AG31" s="6"/>
      <c r="AH31" s="6"/>
      <c r="AI31" s="6"/>
      <c r="AJ31" s="6"/>
      <c r="AK31" s="8"/>
      <c r="AL31" s="8"/>
      <c r="AM31" s="8"/>
    </row>
    <row r="32">
      <c r="A32" s="4" t="s">
        <v>65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  <c r="Q32" s="6"/>
      <c r="R32" s="6"/>
      <c r="S32" s="6"/>
      <c r="T32" s="6"/>
      <c r="U32" s="6"/>
      <c r="V32" s="6"/>
      <c r="W32" s="6"/>
      <c r="X32" s="6"/>
      <c r="Y32" s="6"/>
      <c r="Z32" s="148"/>
      <c r="AA32" s="7"/>
      <c r="AB32" s="6"/>
      <c r="AC32" s="6"/>
      <c r="AD32" s="6"/>
      <c r="AE32" s="6"/>
      <c r="AF32" s="6"/>
      <c r="AG32" s="6"/>
      <c r="AH32" s="6"/>
      <c r="AI32" s="6"/>
      <c r="AJ32" s="6"/>
      <c r="AK32" s="8"/>
      <c r="AL32" s="8"/>
      <c r="AM32" s="8"/>
    </row>
    <row r="33">
      <c r="A33" s="4" t="s">
        <v>66</v>
      </c>
      <c r="B33" s="4"/>
      <c r="C33" s="4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4"/>
      <c r="O33" s="4"/>
      <c r="P33" s="5"/>
      <c r="Q33" s="150"/>
      <c r="R33" s="6" t="s">
        <v>67</v>
      </c>
      <c r="S33" s="151">
        <v>1680.0</v>
      </c>
      <c r="T33" s="151" t="s">
        <v>68</v>
      </c>
      <c r="U33" s="6"/>
      <c r="V33" s="6"/>
      <c r="W33" s="6"/>
      <c r="X33" s="6"/>
      <c r="Y33" s="6"/>
      <c r="Z33" s="6"/>
      <c r="AA33" s="7"/>
      <c r="AB33" s="6"/>
      <c r="AC33" s="6"/>
      <c r="AD33" s="6"/>
      <c r="AE33" s="6"/>
      <c r="AF33" s="6"/>
      <c r="AG33" s="6"/>
      <c r="AH33" s="6"/>
      <c r="AI33" s="6"/>
      <c r="AJ33" s="6"/>
      <c r="AK33" s="8"/>
      <c r="AL33" s="8"/>
      <c r="AM33" s="8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  <c r="Q34" s="6"/>
      <c r="R34" s="6" t="s">
        <v>69</v>
      </c>
      <c r="S34" s="6">
        <v>1300.0</v>
      </c>
      <c r="T34" s="6"/>
      <c r="U34" s="6"/>
      <c r="V34" s="6"/>
      <c r="W34" s="6"/>
      <c r="X34" s="6"/>
      <c r="Y34" s="6"/>
      <c r="Z34" s="6"/>
      <c r="AA34" s="7"/>
      <c r="AB34" s="6"/>
      <c r="AC34" s="6"/>
      <c r="AD34" s="6"/>
      <c r="AE34" s="6"/>
      <c r="AF34" s="6"/>
      <c r="AG34" s="6"/>
      <c r="AH34" s="6"/>
      <c r="AI34" s="6"/>
      <c r="AJ34" s="6"/>
      <c r="AK34" s="8"/>
      <c r="AL34" s="8"/>
      <c r="AM34" s="8"/>
    </row>
    <row r="35">
      <c r="A35" s="4" t="s">
        <v>70</v>
      </c>
      <c r="B35" s="4"/>
      <c r="C35" s="4"/>
      <c r="D35" s="4" t="s">
        <v>71</v>
      </c>
      <c r="O35" s="4"/>
      <c r="P35" s="5"/>
      <c r="Q35" s="6"/>
      <c r="R35" s="6" t="s">
        <v>72</v>
      </c>
      <c r="S35" s="6">
        <v>300.0</v>
      </c>
      <c r="T35" s="6"/>
      <c r="U35" s="6"/>
      <c r="V35" s="6"/>
      <c r="W35" s="6"/>
      <c r="X35" s="6"/>
      <c r="Y35" s="6"/>
      <c r="Z35" s="6"/>
      <c r="AA35" s="7"/>
      <c r="AB35" s="6"/>
      <c r="AC35" s="6"/>
      <c r="AD35" s="6"/>
      <c r="AE35" s="6"/>
      <c r="AF35" s="6"/>
      <c r="AG35" s="6"/>
      <c r="AH35" s="6"/>
      <c r="AI35" s="6"/>
      <c r="AJ35" s="6"/>
      <c r="AK35" s="8"/>
      <c r="AL35" s="8"/>
      <c r="AM35" s="8"/>
    </row>
    <row r="36">
      <c r="A36" s="4" t="s">
        <v>73</v>
      </c>
      <c r="B36" s="4"/>
      <c r="C36" s="4"/>
      <c r="D36" s="4" t="s">
        <v>74</v>
      </c>
      <c r="L36" s="4"/>
      <c r="M36" s="4"/>
      <c r="N36" s="4"/>
      <c r="O36" s="4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  <c r="AA36" s="7"/>
      <c r="AB36" s="6"/>
      <c r="AC36" s="6"/>
      <c r="AD36" s="6"/>
      <c r="AE36" s="6"/>
      <c r="AF36" s="6"/>
      <c r="AG36" s="6"/>
      <c r="AH36" s="6"/>
      <c r="AI36" s="6"/>
      <c r="AJ36" s="6"/>
      <c r="AK36" s="8"/>
      <c r="AL36" s="8"/>
      <c r="AM36" s="8"/>
    </row>
    <row r="37">
      <c r="A37" s="4" t="s">
        <v>75</v>
      </c>
      <c r="B37" s="4"/>
      <c r="C37" s="4"/>
      <c r="D37" s="4" t="s">
        <v>76</v>
      </c>
      <c r="N37" s="4"/>
      <c r="O37" s="4"/>
      <c r="P37" s="5"/>
      <c r="Q37" s="6"/>
      <c r="R37" s="6"/>
      <c r="S37" s="6"/>
      <c r="T37" s="6"/>
      <c r="U37" s="6"/>
      <c r="V37" s="6"/>
      <c r="W37" s="6"/>
      <c r="X37" s="6"/>
      <c r="Y37" s="6"/>
      <c r="Z37" s="6"/>
      <c r="AA37" s="7"/>
      <c r="AB37" s="6"/>
      <c r="AC37" s="6"/>
      <c r="AD37" s="6"/>
      <c r="AE37" s="6"/>
      <c r="AF37" s="6"/>
      <c r="AG37" s="6"/>
      <c r="AH37" s="6"/>
      <c r="AI37" s="6"/>
      <c r="AJ37" s="6"/>
      <c r="AK37" s="8"/>
      <c r="AL37" s="8"/>
      <c r="AM37" s="8"/>
    </row>
    <row r="38">
      <c r="A38" s="4" t="s">
        <v>77</v>
      </c>
      <c r="B38" s="4"/>
      <c r="C38" s="4"/>
      <c r="D38" s="4" t="s">
        <v>78</v>
      </c>
      <c r="N38" s="4"/>
      <c r="O38" s="4"/>
      <c r="P38" s="5"/>
      <c r="Q38" s="6"/>
      <c r="R38" s="6"/>
      <c r="S38" s="6"/>
      <c r="T38" s="6"/>
      <c r="U38" s="6"/>
      <c r="V38" s="6"/>
      <c r="W38" s="6"/>
      <c r="X38" s="6"/>
      <c r="Y38" s="6"/>
      <c r="Z38" s="6"/>
      <c r="AA38" s="7"/>
      <c r="AB38" s="6"/>
      <c r="AC38" s="6"/>
      <c r="AD38" s="6"/>
      <c r="AE38" s="6"/>
      <c r="AF38" s="6"/>
      <c r="AG38" s="6"/>
      <c r="AH38" s="6"/>
      <c r="AI38" s="6"/>
      <c r="AJ38" s="6"/>
      <c r="AK38" s="8"/>
      <c r="AL38" s="8"/>
      <c r="AM38" s="8"/>
    </row>
    <row r="39">
      <c r="A39" s="4"/>
      <c r="B39" s="4"/>
      <c r="C39" s="4"/>
      <c r="D39" s="4" t="s">
        <v>79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  <c r="Q39" s="6"/>
      <c r="R39" s="6"/>
      <c r="S39" s="6"/>
      <c r="T39" s="6"/>
      <c r="U39" s="6"/>
      <c r="V39" s="6"/>
      <c r="W39" s="6"/>
      <c r="X39" s="6"/>
      <c r="Y39" s="6"/>
      <c r="Z39" s="6"/>
      <c r="AA39" s="7"/>
      <c r="AB39" s="6"/>
      <c r="AC39" s="6"/>
      <c r="AD39" s="6"/>
      <c r="AE39" s="6"/>
      <c r="AF39" s="6"/>
      <c r="AG39" s="6"/>
      <c r="AH39" s="6"/>
      <c r="AI39" s="6"/>
      <c r="AJ39" s="6"/>
      <c r="AK39" s="8"/>
      <c r="AL39" s="8"/>
      <c r="AM39" s="8"/>
    </row>
    <row r="40">
      <c r="A40" s="4"/>
      <c r="B40" s="4"/>
      <c r="C40" s="4"/>
      <c r="D40" s="4" t="s">
        <v>80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  <c r="Q40" s="6"/>
      <c r="R40" s="6"/>
      <c r="S40" s="6"/>
      <c r="T40" s="6"/>
      <c r="U40" s="6"/>
      <c r="V40" s="6"/>
      <c r="W40" s="6"/>
      <c r="X40" s="6"/>
      <c r="Y40" s="6"/>
      <c r="Z40" s="6"/>
      <c r="AA40" s="7"/>
      <c r="AB40" s="6"/>
      <c r="AC40" s="6"/>
      <c r="AD40" s="6"/>
      <c r="AE40" s="6"/>
      <c r="AF40" s="6"/>
      <c r="AG40" s="6"/>
      <c r="AH40" s="6"/>
      <c r="AI40" s="6"/>
      <c r="AJ40" s="6"/>
      <c r="AK40" s="8"/>
      <c r="AL40" s="8"/>
      <c r="AM40" s="8"/>
    </row>
    <row r="41">
      <c r="A41" s="4"/>
      <c r="B41" s="4"/>
      <c r="C41" s="4"/>
      <c r="D41" s="145" t="s">
        <v>81</v>
      </c>
      <c r="E41" s="152"/>
      <c r="F41" s="152"/>
      <c r="G41" s="152"/>
      <c r="H41" s="152"/>
      <c r="I41" s="152"/>
      <c r="J41" s="152"/>
      <c r="K41" s="152"/>
      <c r="L41" s="152"/>
      <c r="M41" s="152"/>
      <c r="N41" s="145"/>
      <c r="O41" s="4"/>
      <c r="P41" s="5"/>
      <c r="Q41" s="6"/>
      <c r="R41" s="6"/>
      <c r="S41" s="6"/>
      <c r="T41" s="6"/>
      <c r="U41" s="6"/>
      <c r="V41" s="6"/>
      <c r="W41" s="6"/>
      <c r="X41" s="6"/>
      <c r="Y41" s="6"/>
      <c r="Z41" s="6"/>
      <c r="AA41" s="7"/>
      <c r="AB41" s="6"/>
      <c r="AC41" s="6"/>
      <c r="AD41" s="6"/>
      <c r="AE41" s="6"/>
      <c r="AF41" s="6"/>
      <c r="AG41" s="6"/>
      <c r="AH41" s="6"/>
      <c r="AI41" s="6"/>
      <c r="AJ41" s="6"/>
      <c r="AK41" s="8"/>
      <c r="AL41" s="8"/>
      <c r="AM41" s="8"/>
    </row>
    <row r="42">
      <c r="A42" s="4" t="s">
        <v>82</v>
      </c>
      <c r="C42" s="4" t="s">
        <v>10</v>
      </c>
      <c r="D42" s="4" t="s">
        <v>83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6"/>
      <c r="R42" s="6"/>
      <c r="S42" s="6"/>
      <c r="T42" s="6"/>
      <c r="U42" s="6"/>
      <c r="V42" s="6"/>
      <c r="W42" s="6"/>
      <c r="X42" s="6"/>
      <c r="Y42" s="6"/>
      <c r="Z42" s="6"/>
      <c r="AA42" s="7"/>
      <c r="AB42" s="6"/>
      <c r="AC42" s="6"/>
      <c r="AD42" s="6"/>
      <c r="AE42" s="6"/>
      <c r="AF42" s="6"/>
      <c r="AG42" s="6"/>
      <c r="AH42" s="6"/>
      <c r="AI42" s="6"/>
      <c r="AJ42" s="6"/>
      <c r="AK42" s="8"/>
      <c r="AL42" s="8"/>
      <c r="AM42" s="8"/>
    </row>
    <row r="43">
      <c r="C43" s="4"/>
      <c r="D43" s="4" t="s">
        <v>84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6"/>
      <c r="R43" s="6"/>
      <c r="S43" s="6"/>
      <c r="T43" s="6"/>
      <c r="U43" s="6"/>
      <c r="V43" s="6"/>
      <c r="W43" s="6"/>
      <c r="X43" s="6"/>
      <c r="Y43" s="6"/>
      <c r="Z43" s="6"/>
      <c r="AA43" s="7"/>
      <c r="AB43" s="6"/>
      <c r="AC43" s="6"/>
      <c r="AD43" s="6"/>
      <c r="AE43" s="6"/>
      <c r="AF43" s="6"/>
      <c r="AG43" s="6"/>
      <c r="AH43" s="6"/>
      <c r="AI43" s="6"/>
      <c r="AJ43" s="6"/>
      <c r="AK43" s="8"/>
      <c r="AL43" s="8"/>
      <c r="AM43" s="8"/>
    </row>
    <row r="44">
      <c r="A44" s="4"/>
      <c r="B44" s="4"/>
      <c r="C44" s="4"/>
      <c r="D44" s="4" t="s">
        <v>85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6"/>
      <c r="R44" s="6"/>
      <c r="S44" s="6"/>
      <c r="T44" s="6"/>
      <c r="U44" s="6"/>
      <c r="V44" s="6"/>
      <c r="W44" s="6"/>
      <c r="X44" s="6"/>
      <c r="Y44" s="6"/>
      <c r="Z44" s="6"/>
      <c r="AA44" s="7"/>
      <c r="AB44" s="6"/>
      <c r="AC44" s="6"/>
      <c r="AD44" s="6"/>
      <c r="AE44" s="6"/>
      <c r="AF44" s="6"/>
      <c r="AG44" s="6"/>
      <c r="AH44" s="6"/>
      <c r="AI44" s="6"/>
      <c r="AJ44" s="6"/>
      <c r="AK44" s="8"/>
      <c r="AL44" s="8"/>
      <c r="AM44" s="8"/>
    </row>
    <row r="45">
      <c r="A45" s="4"/>
      <c r="B45" s="4"/>
      <c r="C45" s="4"/>
      <c r="D45" s="4" t="s">
        <v>86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  <c r="Q45" s="6"/>
      <c r="R45" s="6"/>
      <c r="S45" s="6"/>
      <c r="T45" s="6"/>
      <c r="U45" s="148"/>
      <c r="V45" s="148"/>
      <c r="W45" s="148"/>
      <c r="X45" s="148"/>
      <c r="Y45" s="6"/>
      <c r="Z45" s="6"/>
      <c r="AA45" s="7"/>
      <c r="AB45" s="6"/>
      <c r="AC45" s="6"/>
      <c r="AD45" s="6"/>
      <c r="AE45" s="6"/>
      <c r="AF45" s="6"/>
      <c r="AG45" s="6"/>
      <c r="AH45" s="6"/>
      <c r="AI45" s="6"/>
      <c r="AJ45" s="6"/>
      <c r="AK45" s="8"/>
      <c r="AL45" s="8"/>
      <c r="AM45" s="8"/>
    </row>
    <row r="46">
      <c r="A46" s="26"/>
      <c r="B46" s="4"/>
      <c r="C46" s="4"/>
      <c r="D46" s="4" t="s">
        <v>87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  <c r="Q46" s="6"/>
      <c r="R46" s="6"/>
      <c r="S46" s="6"/>
      <c r="T46" s="6"/>
      <c r="U46" s="6"/>
      <c r="V46" s="6"/>
      <c r="W46" s="6"/>
      <c r="X46" s="6"/>
      <c r="Y46" s="153"/>
      <c r="Z46" s="154"/>
      <c r="AA46" s="7"/>
      <c r="AB46" s="6"/>
      <c r="AC46" s="6"/>
      <c r="AD46" s="6"/>
      <c r="AE46" s="6"/>
      <c r="AF46" s="6"/>
      <c r="AG46" s="6"/>
      <c r="AH46" s="6"/>
      <c r="AI46" s="6"/>
      <c r="AJ46" s="6"/>
      <c r="AK46" s="8"/>
      <c r="AL46" s="8"/>
      <c r="AM46" s="8"/>
    </row>
    <row r="47">
      <c r="A47" s="4"/>
      <c r="B47" s="4"/>
      <c r="C47" s="4"/>
      <c r="D47" s="4" t="s">
        <v>88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  <c r="Q47" s="6"/>
      <c r="R47" s="6"/>
      <c r="S47" s="6"/>
      <c r="T47" s="6"/>
      <c r="U47" s="6"/>
      <c r="V47" s="6"/>
      <c r="W47" s="6"/>
      <c r="X47" s="6"/>
      <c r="Y47" s="6"/>
      <c r="Z47" s="148"/>
      <c r="AA47" s="7"/>
      <c r="AB47" s="6"/>
      <c r="AC47" s="6"/>
      <c r="AD47" s="6"/>
      <c r="AE47" s="6"/>
      <c r="AF47" s="6"/>
      <c r="AG47" s="6"/>
      <c r="AH47" s="6"/>
      <c r="AI47" s="6"/>
      <c r="AJ47" s="6"/>
      <c r="AK47" s="8"/>
      <c r="AL47" s="8"/>
      <c r="AM47" s="8"/>
    </row>
    <row r="48">
      <c r="A48" s="4" t="s">
        <v>89</v>
      </c>
      <c r="B48" s="4"/>
      <c r="C48" s="4" t="s">
        <v>10</v>
      </c>
      <c r="D48" s="4" t="s">
        <v>90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/>
      <c r="Q48" s="6"/>
      <c r="R48" s="6"/>
      <c r="S48" s="6"/>
      <c r="T48" s="6"/>
      <c r="U48" s="6"/>
      <c r="V48" s="6"/>
      <c r="W48" s="6"/>
      <c r="X48" s="6"/>
      <c r="Y48" s="6"/>
      <c r="Z48" s="6"/>
      <c r="AA48" s="7"/>
      <c r="AB48" s="6"/>
      <c r="AC48" s="6"/>
      <c r="AD48" s="6"/>
      <c r="AE48" s="6"/>
      <c r="AF48" s="6"/>
      <c r="AG48" s="6"/>
      <c r="AH48" s="6"/>
      <c r="AI48" s="6"/>
      <c r="AJ48" s="6"/>
      <c r="AK48" s="8"/>
      <c r="AL48" s="8"/>
      <c r="AM48" s="8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  <c r="Q49" s="6"/>
      <c r="R49" s="6"/>
      <c r="S49" s="6"/>
      <c r="T49" s="6"/>
      <c r="U49" s="6"/>
      <c r="V49" s="6"/>
      <c r="W49" s="6"/>
      <c r="X49" s="6"/>
      <c r="Y49" s="6"/>
      <c r="Z49" s="6"/>
      <c r="AA49" s="7"/>
      <c r="AB49" s="6"/>
      <c r="AC49" s="6"/>
      <c r="AD49" s="6"/>
      <c r="AE49" s="6"/>
      <c r="AF49" s="6"/>
      <c r="AG49" s="6"/>
      <c r="AH49" s="6"/>
      <c r="AI49" s="6"/>
      <c r="AJ49" s="6"/>
      <c r="AK49" s="8"/>
      <c r="AL49" s="8"/>
      <c r="AM49" s="8"/>
    </row>
    <row r="50">
      <c r="A50" s="4" t="s">
        <v>91</v>
      </c>
      <c r="B50" s="4"/>
      <c r="C50" s="4" t="s">
        <v>10</v>
      </c>
      <c r="D50" s="4" t="s">
        <v>92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  <c r="Q50" s="6"/>
      <c r="R50" s="6"/>
      <c r="S50" s="6"/>
      <c r="T50" s="6"/>
      <c r="U50" s="6"/>
      <c r="V50" s="6"/>
      <c r="W50" s="6"/>
      <c r="X50" s="6"/>
      <c r="Y50" s="6"/>
      <c r="Z50" s="6"/>
      <c r="AA50" s="7"/>
      <c r="AB50" s="6"/>
      <c r="AC50" s="6"/>
      <c r="AD50" s="6"/>
      <c r="AE50" s="6"/>
      <c r="AF50" s="6"/>
      <c r="AG50" s="6"/>
      <c r="AH50" s="6"/>
      <c r="AI50" s="6"/>
      <c r="AJ50" s="6"/>
      <c r="AK50" s="8"/>
      <c r="AL50" s="8"/>
      <c r="AM50" s="8"/>
    </row>
    <row r="51">
      <c r="A51" s="4"/>
      <c r="B51" s="4"/>
      <c r="C51" s="4"/>
      <c r="D51" s="4" t="s">
        <v>93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/>
      <c r="Q51" s="6"/>
      <c r="R51" s="6"/>
      <c r="S51" s="6"/>
      <c r="T51" s="6"/>
      <c r="U51" s="6"/>
      <c r="V51" s="6"/>
      <c r="W51" s="6"/>
      <c r="X51" s="6"/>
      <c r="Y51" s="6"/>
      <c r="Z51" s="6"/>
      <c r="AA51" s="7"/>
      <c r="AB51" s="6"/>
      <c r="AC51" s="6"/>
      <c r="AD51" s="6"/>
      <c r="AE51" s="6"/>
      <c r="AF51" s="6"/>
      <c r="AG51" s="6"/>
      <c r="AH51" s="6"/>
      <c r="AI51" s="6"/>
      <c r="AJ51" s="6"/>
      <c r="AK51" s="8"/>
      <c r="AL51" s="8"/>
      <c r="AM51" s="8"/>
    </row>
    <row r="52">
      <c r="A52" s="4"/>
      <c r="B52" s="4"/>
      <c r="C52" s="4"/>
      <c r="D52" s="4" t="s">
        <v>94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6"/>
      <c r="AC52" s="6"/>
      <c r="AD52" s="6"/>
      <c r="AE52" s="6"/>
      <c r="AF52" s="6"/>
      <c r="AG52" s="6"/>
      <c r="AH52" s="6"/>
      <c r="AI52" s="6"/>
      <c r="AJ52" s="6"/>
      <c r="AK52" s="8"/>
      <c r="AL52" s="8"/>
      <c r="AM52" s="8"/>
    </row>
    <row r="53">
      <c r="A53" s="4"/>
      <c r="B53" s="4"/>
      <c r="C53" s="4"/>
      <c r="D53" s="4" t="s">
        <v>95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  <c r="Q53" s="6"/>
      <c r="R53" s="6"/>
      <c r="S53" s="6"/>
      <c r="T53" s="6"/>
      <c r="U53" s="6"/>
      <c r="V53" s="6"/>
      <c r="W53" s="6"/>
      <c r="X53" s="6"/>
      <c r="Y53" s="6"/>
      <c r="Z53" s="6"/>
      <c r="AA53" s="7"/>
      <c r="AB53" s="6"/>
      <c r="AC53" s="6"/>
      <c r="AD53" s="6"/>
      <c r="AE53" s="6"/>
      <c r="AF53" s="6"/>
      <c r="AG53" s="6"/>
      <c r="AH53" s="6"/>
      <c r="AI53" s="6"/>
      <c r="AJ53" s="6"/>
      <c r="AK53" s="8"/>
      <c r="AL53" s="8"/>
      <c r="AM53" s="8"/>
    </row>
    <row r="54">
      <c r="A54" s="4" t="s">
        <v>82</v>
      </c>
      <c r="C54" s="4" t="s">
        <v>10</v>
      </c>
      <c r="D54" s="4" t="s">
        <v>96</v>
      </c>
      <c r="N54" s="4"/>
      <c r="O54" s="4"/>
      <c r="P54" s="5"/>
      <c r="Q54" s="6"/>
      <c r="R54" s="6"/>
      <c r="S54" s="6"/>
      <c r="T54" s="6"/>
      <c r="U54" s="6"/>
      <c r="V54" s="6"/>
      <c r="W54" s="6"/>
      <c r="X54" s="6"/>
      <c r="Y54" s="6"/>
      <c r="Z54" s="6"/>
      <c r="AA54" s="7"/>
      <c r="AB54" s="6"/>
      <c r="AC54" s="6"/>
      <c r="AD54" s="6"/>
      <c r="AE54" s="6"/>
      <c r="AF54" s="6"/>
      <c r="AG54" s="6"/>
      <c r="AH54" s="6"/>
      <c r="AI54" s="6"/>
      <c r="AJ54" s="6"/>
      <c r="AK54" s="8"/>
      <c r="AL54" s="8"/>
      <c r="AM54" s="8"/>
    </row>
    <row r="55">
      <c r="C55" s="4"/>
      <c r="D55" s="4" t="s">
        <v>97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  <c r="Q55" s="6"/>
      <c r="R55" s="6"/>
      <c r="S55" s="6"/>
      <c r="T55" s="6"/>
      <c r="U55" s="6"/>
      <c r="V55" s="6"/>
      <c r="W55" s="6"/>
      <c r="X55" s="6"/>
      <c r="Y55" s="6"/>
      <c r="Z55" s="6"/>
      <c r="AA55" s="7"/>
      <c r="AB55" s="6"/>
      <c r="AC55" s="6"/>
      <c r="AD55" s="6"/>
      <c r="AE55" s="6"/>
      <c r="AF55" s="6"/>
      <c r="AG55" s="6"/>
      <c r="AH55" s="6"/>
      <c r="AI55" s="6"/>
      <c r="AJ55" s="6"/>
      <c r="AK55" s="8"/>
      <c r="AL55" s="8"/>
      <c r="AM55" s="8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  <c r="Q56" s="6"/>
      <c r="R56" s="6"/>
      <c r="S56" s="6"/>
      <c r="T56" s="6"/>
      <c r="U56" s="6"/>
      <c r="V56" s="6"/>
      <c r="W56" s="6"/>
      <c r="X56" s="6"/>
      <c r="Y56" s="6"/>
      <c r="Z56" s="6"/>
      <c r="AA56" s="7"/>
      <c r="AB56" s="6"/>
      <c r="AC56" s="6"/>
      <c r="AD56" s="6"/>
      <c r="AE56" s="6"/>
      <c r="AF56" s="6"/>
      <c r="AG56" s="6"/>
      <c r="AH56" s="6"/>
      <c r="AI56" s="6"/>
      <c r="AJ56" s="6"/>
      <c r="AK56" s="8"/>
      <c r="AL56" s="8"/>
      <c r="AM56" s="8"/>
    </row>
    <row r="57">
      <c r="A57" s="4" t="s">
        <v>98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8"/>
      <c r="AL57" s="8"/>
      <c r="AM57" s="8"/>
    </row>
    <row r="58">
      <c r="A58" s="156"/>
      <c r="B58" s="149"/>
      <c r="C58" s="149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4"/>
      <c r="P58" s="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8"/>
      <c r="AL58" s="8"/>
      <c r="AM58" s="8"/>
      <c r="AN58" s="158"/>
      <c r="AO58" s="158"/>
    </row>
    <row r="59">
      <c r="A59" s="156" t="s">
        <v>99</v>
      </c>
      <c r="B59" s="149"/>
      <c r="C59" s="149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4"/>
      <c r="P59" s="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8"/>
      <c r="AL59" s="8"/>
      <c r="AM59" s="8"/>
      <c r="AN59" s="158"/>
      <c r="AO59" s="158"/>
    </row>
    <row r="60">
      <c r="A60" s="156" t="s">
        <v>100</v>
      </c>
      <c r="B60" s="149"/>
      <c r="C60" s="149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4"/>
      <c r="P60" s="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8"/>
      <c r="AL60" s="8"/>
      <c r="AM60" s="8"/>
      <c r="AN60" s="158"/>
      <c r="AO60" s="158"/>
    </row>
    <row r="61">
      <c r="A61" s="156"/>
      <c r="B61" s="149"/>
      <c r="C61" s="14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4"/>
      <c r="P61" s="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8"/>
      <c r="AL61" s="8"/>
      <c r="AM61" s="8"/>
      <c r="AN61" s="158"/>
      <c r="AO61" s="158"/>
    </row>
    <row r="62">
      <c r="A62" s="156"/>
      <c r="B62" s="149"/>
      <c r="C62" s="14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4"/>
      <c r="P62" s="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8"/>
      <c r="AL62" s="8"/>
      <c r="AM62" s="8"/>
      <c r="AN62" s="158"/>
      <c r="AO62" s="158"/>
    </row>
    <row r="63" ht="12.75" customHeight="1">
      <c r="A63" s="156"/>
      <c r="B63" s="149"/>
      <c r="C63" s="14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4"/>
      <c r="P63" s="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8"/>
      <c r="AL63" s="8"/>
      <c r="AM63" s="8"/>
      <c r="AN63" s="158"/>
      <c r="AO63" s="158"/>
    </row>
    <row r="64" ht="12.75" customHeight="1">
      <c r="A64" s="156" t="s">
        <v>101</v>
      </c>
      <c r="B64" s="4"/>
      <c r="C64" s="4"/>
      <c r="D64" s="4"/>
      <c r="E64" s="4"/>
      <c r="F64" s="4"/>
      <c r="G64" s="4"/>
      <c r="H64" s="4"/>
      <c r="I64" s="159"/>
      <c r="J64" s="159"/>
      <c r="K64" s="159"/>
      <c r="L64" s="159"/>
      <c r="M64" s="159"/>
      <c r="N64" s="159"/>
      <c r="O64" s="4"/>
      <c r="P64" s="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8"/>
      <c r="AL64" s="8"/>
      <c r="AM64" s="8"/>
      <c r="AN64" s="158"/>
      <c r="AO64" s="158"/>
    </row>
    <row r="65" ht="12.75" customHeight="1">
      <c r="A65" s="160" t="s">
        <v>102</v>
      </c>
      <c r="B65" s="4"/>
      <c r="C65" s="4"/>
      <c r="D65" s="4"/>
      <c r="E65" s="4"/>
      <c r="F65" s="4"/>
      <c r="G65" s="4"/>
      <c r="H65" s="4"/>
      <c r="I65" s="159"/>
      <c r="J65" s="159"/>
      <c r="K65" s="159"/>
      <c r="L65" s="159"/>
      <c r="M65" s="159"/>
      <c r="N65" s="159"/>
      <c r="O65" s="4"/>
      <c r="P65" s="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8"/>
      <c r="AL65" s="8"/>
      <c r="AM65" s="8"/>
      <c r="AN65" s="158"/>
      <c r="AO65" s="158"/>
    </row>
    <row r="66" ht="12.75" customHeight="1">
      <c r="A66" s="161" t="s">
        <v>103</v>
      </c>
      <c r="B66" s="4"/>
      <c r="C66" s="4"/>
      <c r="D66" s="4"/>
      <c r="E66" s="4"/>
      <c r="F66" s="4"/>
      <c r="G66" s="4"/>
      <c r="H66" s="4"/>
      <c r="I66" s="159"/>
      <c r="J66" s="159"/>
      <c r="K66" s="159"/>
      <c r="L66" s="159"/>
      <c r="M66" s="159"/>
      <c r="N66" s="159"/>
      <c r="O66" s="4"/>
      <c r="P66" s="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8"/>
      <c r="AL66" s="8"/>
      <c r="AM66" s="8"/>
      <c r="AN66" s="158"/>
      <c r="AO66" s="158"/>
    </row>
    <row r="67" ht="12.75" customHeight="1">
      <c r="A67" s="149" t="s">
        <v>104</v>
      </c>
      <c r="B67" s="4" t="s">
        <v>105</v>
      </c>
      <c r="C67" s="4"/>
      <c r="D67" s="4"/>
      <c r="E67" s="4"/>
      <c r="F67" s="4"/>
      <c r="G67" s="4"/>
      <c r="H67" s="4"/>
      <c r="I67" s="159"/>
      <c r="J67" s="159"/>
      <c r="K67" s="159"/>
      <c r="L67" s="159"/>
      <c r="M67" s="159"/>
      <c r="N67" s="159"/>
      <c r="O67" s="4"/>
      <c r="P67" s="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8"/>
      <c r="AL67" s="8"/>
      <c r="AM67" s="8"/>
      <c r="AN67" s="158"/>
      <c r="AO67" s="158"/>
    </row>
    <row r="68" ht="15.75" customHeight="1">
      <c r="A68" s="162" t="s">
        <v>106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10" t="s">
        <v>107</v>
      </c>
      <c r="AA68" s="163"/>
    </row>
    <row r="69" ht="15.75" customHeight="1">
      <c r="AA69" s="163"/>
    </row>
    <row r="70" ht="15.75" customHeight="1">
      <c r="AA70" s="163"/>
    </row>
    <row r="71" ht="15.75" customHeight="1">
      <c r="AA71" s="163"/>
    </row>
    <row r="72" ht="15.75" customHeight="1">
      <c r="AA72" s="163"/>
    </row>
    <row r="73" ht="15.75" customHeight="1">
      <c r="AA73" s="163"/>
    </row>
    <row r="74" ht="14.25" customHeight="1">
      <c r="AA74" s="163"/>
    </row>
    <row r="75" ht="15.75" customHeight="1">
      <c r="AA75" s="163"/>
    </row>
    <row r="76" ht="15.75" customHeight="1">
      <c r="AA76" s="163"/>
    </row>
    <row r="77" ht="15.75" customHeight="1">
      <c r="AA77" s="163"/>
    </row>
    <row r="78" ht="15.75" customHeight="1">
      <c r="AA78" s="163"/>
    </row>
    <row r="79" ht="15.75" customHeight="1">
      <c r="AA79" s="163"/>
    </row>
    <row r="80" ht="15.75" customHeight="1">
      <c r="AA80" s="163"/>
    </row>
    <row r="81" ht="15.75" customHeight="1">
      <c r="AA81" s="163"/>
    </row>
    <row r="82" ht="15.75" customHeight="1">
      <c r="AA82" s="163"/>
    </row>
    <row r="83" ht="15.75" customHeight="1">
      <c r="AA83" s="163"/>
    </row>
    <row r="84" ht="15.75" customHeight="1">
      <c r="AA84" s="163"/>
    </row>
    <row r="85" ht="15.75" customHeight="1">
      <c r="AA85" s="163"/>
    </row>
    <row r="86" ht="15.75" customHeight="1">
      <c r="AA86" s="163"/>
    </row>
    <row r="87" ht="15.75" customHeight="1">
      <c r="AA87" s="163"/>
    </row>
    <row r="88" ht="15.75" customHeight="1">
      <c r="AA88" s="163"/>
    </row>
    <row r="89" ht="15.75" customHeight="1">
      <c r="AA89" s="163"/>
    </row>
    <row r="90" ht="15.75" customHeight="1">
      <c r="AA90" s="163"/>
    </row>
    <row r="91" ht="15.75" customHeight="1">
      <c r="AA91" s="163"/>
    </row>
    <row r="92" ht="15.75" customHeight="1">
      <c r="AA92" s="163"/>
    </row>
    <row r="93" ht="15.75" customHeight="1">
      <c r="AA93" s="163"/>
    </row>
    <row r="94" ht="15.75" customHeight="1">
      <c r="AA94" s="163"/>
    </row>
    <row r="95" ht="15.75" customHeight="1">
      <c r="AA95" s="163"/>
    </row>
    <row r="96" ht="15.75" customHeight="1">
      <c r="AA96" s="163"/>
    </row>
    <row r="97" ht="15.75" customHeight="1">
      <c r="AA97" s="163"/>
    </row>
    <row r="98" ht="15.75" customHeight="1">
      <c r="AA98" s="163"/>
    </row>
    <row r="99" ht="15.75" customHeight="1">
      <c r="AA99" s="163"/>
    </row>
    <row r="100" ht="15.75" customHeight="1">
      <c r="AA100" s="163"/>
    </row>
    <row r="101" ht="15.75" customHeight="1">
      <c r="AA101" s="163"/>
    </row>
    <row r="102" ht="15.75" customHeight="1">
      <c r="AA102" s="163"/>
    </row>
    <row r="103" ht="15.75" customHeight="1">
      <c r="AA103" s="163"/>
    </row>
    <row r="104" ht="15.75" customHeight="1">
      <c r="AA104" s="163"/>
    </row>
    <row r="105" ht="15.75" customHeight="1">
      <c r="AA105" s="163"/>
    </row>
    <row r="106" ht="15.75" customHeight="1">
      <c r="AA106" s="163"/>
    </row>
    <row r="107" ht="15.75" customHeight="1">
      <c r="AA107" s="163"/>
    </row>
    <row r="108" ht="15.75" customHeight="1">
      <c r="AA108" s="163"/>
    </row>
    <row r="109" ht="15.75" customHeight="1">
      <c r="AA109" s="163"/>
    </row>
    <row r="110" ht="15.75" customHeight="1">
      <c r="AA110" s="163"/>
    </row>
    <row r="111" ht="15.75" customHeight="1">
      <c r="AA111" s="163"/>
    </row>
    <row r="112" ht="15.75" customHeight="1">
      <c r="AA112" s="163"/>
    </row>
    <row r="113" ht="15.75" customHeight="1">
      <c r="AA113" s="163"/>
    </row>
    <row r="114" ht="15.75" customHeight="1">
      <c r="AA114" s="163"/>
    </row>
    <row r="115" ht="15.75" customHeight="1">
      <c r="AA115" s="163"/>
    </row>
    <row r="116" ht="15.75" customHeight="1">
      <c r="AA116" s="163"/>
    </row>
    <row r="117" ht="15.75" customHeight="1">
      <c r="AA117" s="163"/>
    </row>
    <row r="118" ht="15.75" customHeight="1">
      <c r="AA118" s="163"/>
    </row>
    <row r="119" ht="15.75" customHeight="1">
      <c r="AA119" s="163"/>
    </row>
    <row r="120" ht="15.75" customHeight="1">
      <c r="AA120" s="163"/>
    </row>
    <row r="121" ht="15.75" customHeight="1">
      <c r="AA121" s="163"/>
    </row>
    <row r="122" ht="15.75" customHeight="1">
      <c r="AA122" s="163"/>
    </row>
    <row r="123" ht="15.75" customHeight="1">
      <c r="AA123" s="163"/>
    </row>
    <row r="124" ht="15.75" customHeight="1">
      <c r="AA124" s="163"/>
    </row>
    <row r="125" ht="15.75" customHeight="1">
      <c r="AA125" s="163"/>
    </row>
    <row r="126" ht="15.75" customHeight="1">
      <c r="AA126" s="163"/>
    </row>
    <row r="127" ht="15.75" customHeight="1">
      <c r="AA127" s="163"/>
    </row>
    <row r="128" ht="15.75" customHeight="1">
      <c r="AA128" s="163"/>
    </row>
    <row r="129" ht="15.75" customHeight="1">
      <c r="AA129" s="163"/>
    </row>
    <row r="130" ht="15.75" customHeight="1">
      <c r="AA130" s="163"/>
    </row>
    <row r="131" ht="15.75" customHeight="1">
      <c r="AA131" s="163"/>
    </row>
    <row r="132" ht="15.75" customHeight="1">
      <c r="AA132" s="163"/>
    </row>
    <row r="133" ht="15.75" customHeight="1">
      <c r="AA133" s="163"/>
    </row>
    <row r="134" ht="15.75" customHeight="1">
      <c r="AA134" s="163"/>
    </row>
    <row r="135" ht="15.75" customHeight="1">
      <c r="AA135" s="163"/>
    </row>
    <row r="136" ht="15.75" customHeight="1">
      <c r="AA136" s="163"/>
    </row>
    <row r="137" ht="15.75" customHeight="1">
      <c r="AA137" s="163"/>
    </row>
    <row r="138" ht="15.75" customHeight="1">
      <c r="AA138" s="163"/>
    </row>
    <row r="139" ht="15.75" customHeight="1">
      <c r="AA139" s="163"/>
    </row>
    <row r="140" ht="15.75" customHeight="1">
      <c r="AA140" s="163"/>
    </row>
    <row r="141" ht="15.75" customHeight="1">
      <c r="AA141" s="163"/>
    </row>
    <row r="142" ht="15.75" customHeight="1">
      <c r="AA142" s="163"/>
    </row>
    <row r="143" ht="15.75" customHeight="1">
      <c r="AA143" s="163"/>
    </row>
    <row r="144" ht="15.75" customHeight="1">
      <c r="AA144" s="163"/>
    </row>
    <row r="145" ht="15.75" customHeight="1">
      <c r="AA145" s="163"/>
    </row>
    <row r="146" ht="15.75" customHeight="1">
      <c r="AA146" s="163"/>
    </row>
    <row r="147" ht="15.75" customHeight="1">
      <c r="AA147" s="163"/>
    </row>
    <row r="148" ht="15.75" customHeight="1">
      <c r="AA148" s="163"/>
    </row>
    <row r="149" ht="15.75" customHeight="1">
      <c r="AA149" s="163"/>
    </row>
    <row r="150" ht="15.75" customHeight="1">
      <c r="AA150" s="163"/>
    </row>
    <row r="151" ht="15.75" customHeight="1">
      <c r="AA151" s="163"/>
    </row>
    <row r="152" ht="15.75" customHeight="1">
      <c r="AA152" s="163"/>
    </row>
    <row r="153" ht="15.75" customHeight="1">
      <c r="AA153" s="163"/>
    </row>
    <row r="154" ht="15.75" customHeight="1">
      <c r="AA154" s="163"/>
    </row>
    <row r="155" ht="15.75" customHeight="1">
      <c r="AA155" s="163"/>
    </row>
    <row r="156" ht="15.75" customHeight="1">
      <c r="AA156" s="163"/>
    </row>
    <row r="157" ht="15.75" customHeight="1">
      <c r="AA157" s="163"/>
    </row>
    <row r="158" ht="15.75" customHeight="1">
      <c r="AA158" s="163"/>
    </row>
    <row r="159" ht="15.75" customHeight="1">
      <c r="AA159" s="163"/>
    </row>
    <row r="160" ht="15.75" customHeight="1">
      <c r="AA160" s="163"/>
    </row>
    <row r="161" ht="15.75" customHeight="1">
      <c r="AA161" s="163"/>
    </row>
    <row r="162" ht="15.75" customHeight="1">
      <c r="AA162" s="163"/>
    </row>
    <row r="163" ht="15.75" customHeight="1">
      <c r="AA163" s="163"/>
    </row>
    <row r="164" ht="15.75" customHeight="1">
      <c r="AA164" s="163"/>
    </row>
    <row r="165" ht="15.75" customHeight="1">
      <c r="AA165" s="163"/>
    </row>
    <row r="166" ht="15.75" customHeight="1">
      <c r="AA166" s="163"/>
    </row>
    <row r="167" ht="15.75" customHeight="1">
      <c r="AA167" s="163"/>
    </row>
    <row r="168" ht="15.75" customHeight="1">
      <c r="AA168" s="163"/>
    </row>
    <row r="169" ht="15.75" customHeight="1">
      <c r="AA169" s="163"/>
    </row>
    <row r="170" ht="15.75" customHeight="1">
      <c r="AA170" s="163"/>
    </row>
    <row r="171" ht="15.75" customHeight="1">
      <c r="AA171" s="163"/>
    </row>
    <row r="172" ht="15.75" customHeight="1">
      <c r="AA172" s="163"/>
    </row>
    <row r="173" ht="15.75" customHeight="1">
      <c r="AA173" s="163"/>
    </row>
    <row r="174" ht="15.75" customHeight="1">
      <c r="AA174" s="163"/>
    </row>
    <row r="175" ht="15.75" customHeight="1">
      <c r="AA175" s="163"/>
    </row>
    <row r="176" ht="15.75" customHeight="1">
      <c r="AA176" s="163"/>
    </row>
    <row r="177" ht="15.75" customHeight="1">
      <c r="AA177" s="163"/>
    </row>
    <row r="178" ht="15.75" customHeight="1">
      <c r="AA178" s="163"/>
    </row>
    <row r="179" ht="15.75" customHeight="1">
      <c r="AA179" s="163"/>
    </row>
    <row r="180" ht="15.75" customHeight="1">
      <c r="AA180" s="163"/>
    </row>
    <row r="181" ht="15.75" customHeight="1">
      <c r="AA181" s="163"/>
    </row>
    <row r="182" ht="15.75" customHeight="1">
      <c r="AA182" s="163"/>
    </row>
    <row r="183" ht="15.75" customHeight="1">
      <c r="AA183" s="163"/>
    </row>
    <row r="184" ht="15.75" customHeight="1">
      <c r="AA184" s="163"/>
    </row>
    <row r="185" ht="15.75" customHeight="1">
      <c r="AA185" s="163"/>
    </row>
    <row r="186" ht="15.75" customHeight="1">
      <c r="AA186" s="163"/>
    </row>
    <row r="187" ht="15.75" customHeight="1">
      <c r="AA187" s="163"/>
    </row>
    <row r="188" ht="15.75" customHeight="1">
      <c r="AA188" s="163"/>
    </row>
    <row r="189" ht="15.75" customHeight="1">
      <c r="AA189" s="163"/>
    </row>
    <row r="190" ht="15.75" customHeight="1">
      <c r="AA190" s="163"/>
    </row>
    <row r="191" ht="15.75" customHeight="1">
      <c r="AA191" s="163"/>
    </row>
    <row r="192" ht="15.75" customHeight="1">
      <c r="AA192" s="163"/>
    </row>
    <row r="193" ht="15.75" customHeight="1">
      <c r="AA193" s="163"/>
    </row>
    <row r="194" ht="15.75" customHeight="1">
      <c r="AA194" s="163"/>
    </row>
    <row r="195" ht="15.75" customHeight="1">
      <c r="AA195" s="163"/>
    </row>
    <row r="196" ht="15.75" customHeight="1">
      <c r="AA196" s="163"/>
    </row>
    <row r="197" ht="15.75" customHeight="1">
      <c r="AA197" s="163"/>
    </row>
    <row r="198" ht="15.75" customHeight="1">
      <c r="AA198" s="163"/>
    </row>
    <row r="199" ht="15.75" customHeight="1">
      <c r="AA199" s="163"/>
    </row>
    <row r="200" ht="15.75" customHeight="1">
      <c r="AA200" s="163"/>
    </row>
    <row r="201" ht="15.75" customHeight="1">
      <c r="AA201" s="163"/>
    </row>
    <row r="202" ht="15.75" customHeight="1">
      <c r="AA202" s="163"/>
    </row>
    <row r="203" ht="15.75" customHeight="1">
      <c r="AA203" s="163"/>
    </row>
    <row r="204" ht="15.75" customHeight="1">
      <c r="AA204" s="163"/>
    </row>
    <row r="205" ht="15.75" customHeight="1">
      <c r="AA205" s="163"/>
    </row>
    <row r="206" ht="15.75" customHeight="1">
      <c r="AA206" s="163"/>
    </row>
    <row r="207" ht="15.75" customHeight="1">
      <c r="AA207" s="163"/>
    </row>
    <row r="208" ht="15.75" customHeight="1">
      <c r="AA208" s="163"/>
    </row>
    <row r="209" ht="15.75" customHeight="1">
      <c r="AA209" s="163"/>
    </row>
    <row r="210" ht="15.75" customHeight="1">
      <c r="AA210" s="163"/>
    </row>
    <row r="211" ht="15.75" customHeight="1">
      <c r="AA211" s="163"/>
    </row>
    <row r="212" ht="15.75" customHeight="1">
      <c r="AA212" s="163"/>
    </row>
    <row r="213" ht="15.75" customHeight="1">
      <c r="AA213" s="163"/>
    </row>
    <row r="214" ht="15.75" customHeight="1">
      <c r="AA214" s="163"/>
    </row>
    <row r="215" ht="15.75" customHeight="1">
      <c r="AA215" s="163"/>
    </row>
    <row r="216" ht="15.75" customHeight="1">
      <c r="AA216" s="163"/>
    </row>
    <row r="217" ht="15.75" customHeight="1">
      <c r="AA217" s="163"/>
    </row>
    <row r="218" ht="15.75" customHeight="1">
      <c r="AA218" s="163"/>
    </row>
    <row r="219" ht="15.75" customHeight="1">
      <c r="AA219" s="163"/>
    </row>
    <row r="220" ht="15.75" customHeight="1">
      <c r="AA220" s="163"/>
    </row>
    <row r="221" ht="15.75" customHeight="1">
      <c r="AA221" s="163"/>
    </row>
    <row r="222" ht="15.75" customHeight="1">
      <c r="AA222" s="163"/>
    </row>
    <row r="223" ht="15.75" customHeight="1">
      <c r="AA223" s="163"/>
    </row>
    <row r="224" ht="15.75" customHeight="1">
      <c r="AA224" s="163"/>
    </row>
    <row r="225" ht="15.75" customHeight="1">
      <c r="AA225" s="163"/>
    </row>
    <row r="226" ht="15.75" customHeight="1">
      <c r="AA226" s="163"/>
    </row>
    <row r="227" ht="15.75" customHeight="1">
      <c r="AA227" s="163"/>
    </row>
    <row r="228" ht="15.75" customHeight="1">
      <c r="AA228" s="163"/>
    </row>
    <row r="229" ht="15.75" customHeight="1">
      <c r="AA229" s="163"/>
    </row>
    <row r="230" ht="15.75" customHeight="1">
      <c r="AA230" s="163"/>
    </row>
    <row r="231" ht="15.75" customHeight="1">
      <c r="AA231" s="163"/>
    </row>
    <row r="232" ht="15.75" customHeight="1">
      <c r="AA232" s="163"/>
    </row>
    <row r="233" ht="15.75" customHeight="1">
      <c r="AA233" s="163"/>
    </row>
    <row r="234" ht="15.75" customHeight="1">
      <c r="AA234" s="163"/>
    </row>
    <row r="235" ht="15.75" customHeight="1">
      <c r="AA235" s="163"/>
    </row>
    <row r="236" ht="15.75" customHeight="1">
      <c r="AA236" s="163"/>
    </row>
    <row r="237" ht="15.75" customHeight="1">
      <c r="AA237" s="163"/>
    </row>
    <row r="238" ht="15.75" customHeight="1">
      <c r="AA238" s="163"/>
    </row>
    <row r="239" ht="15.75" customHeight="1">
      <c r="AA239" s="163"/>
    </row>
    <row r="240" ht="15.75" customHeight="1">
      <c r="AA240" s="163"/>
    </row>
    <row r="241" ht="15.75" customHeight="1">
      <c r="AA241" s="163"/>
    </row>
    <row r="242" ht="15.75" customHeight="1">
      <c r="AA242" s="163"/>
    </row>
    <row r="243" ht="15.75" customHeight="1">
      <c r="AA243" s="163"/>
    </row>
    <row r="244" ht="15.75" customHeight="1">
      <c r="AA244" s="16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</sheetData>
  <mergeCells count="20">
    <mergeCell ref="M2:N2"/>
    <mergeCell ref="M4:N4"/>
    <mergeCell ref="M5:N5"/>
    <mergeCell ref="A16:N16"/>
    <mergeCell ref="P17:AJ18"/>
    <mergeCell ref="P19:AI19"/>
    <mergeCell ref="K20:L20"/>
    <mergeCell ref="D37:M37"/>
    <mergeCell ref="D38:M38"/>
    <mergeCell ref="A42:B43"/>
    <mergeCell ref="A54:B55"/>
    <mergeCell ref="D54:M54"/>
    <mergeCell ref="M68:N68"/>
    <mergeCell ref="B20:J20"/>
    <mergeCell ref="B27:J27"/>
    <mergeCell ref="B28:H28"/>
    <mergeCell ref="K29:M29"/>
    <mergeCell ref="D30:N30"/>
    <mergeCell ref="D35:N35"/>
    <mergeCell ref="D36:K36"/>
  </mergeCells>
  <printOptions horizontalCentered="1"/>
  <pageMargins bottom="1.0" footer="0.0" header="0.0" left="0.5" right="0.5" top="0.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7.13"/>
    <col customWidth="1" min="3" max="3" width="3.88"/>
    <col customWidth="1" min="4" max="4" width="1.75"/>
    <col customWidth="1" min="5" max="7" width="3.63"/>
    <col customWidth="1" min="8" max="8" width="16.13"/>
    <col customWidth="1" min="9" max="9" width="14.88"/>
    <col customWidth="1" min="10" max="10" width="20.38"/>
    <col customWidth="1" min="11" max="11" width="5.88"/>
    <col customWidth="1" min="12" max="12" width="6.38"/>
    <col customWidth="1" min="13" max="13" width="12.5"/>
    <col customWidth="1" min="14" max="14" width="15.5"/>
    <col customWidth="1" min="15" max="15" width="2.75"/>
    <col customWidth="1" min="16" max="20" width="12.38"/>
    <col customWidth="1" min="21" max="25" width="12.0"/>
    <col customWidth="1" min="26" max="26" width="9.63"/>
    <col customWidth="1" min="27" max="27" width="11.63"/>
    <col customWidth="1" min="28" max="32" width="11.0"/>
    <col customWidth="1" min="33" max="33" width="10.75"/>
    <col customWidth="1" min="34" max="35" width="11.88"/>
    <col customWidth="1" min="36" max="36" width="10.63"/>
    <col customWidth="1" min="37" max="37" width="9.63"/>
    <col customWidth="1" min="38" max="39" width="7.75"/>
  </cols>
  <sheetData>
    <row r="1" ht="12.75" customHeight="1">
      <c r="A1" s="164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7"/>
      <c r="AB1" s="6"/>
      <c r="AC1" s="6"/>
      <c r="AD1" s="6"/>
      <c r="AE1" s="6"/>
      <c r="AF1" s="6"/>
      <c r="AG1" s="6"/>
      <c r="AH1" s="6"/>
      <c r="AI1" s="6"/>
      <c r="AJ1" s="6"/>
      <c r="AK1" s="8"/>
      <c r="AL1" s="8"/>
      <c r="AM1" s="8"/>
    </row>
    <row r="2" ht="12.75" customHeight="1">
      <c r="A2" s="9"/>
      <c r="B2" s="4"/>
      <c r="C2" s="4"/>
      <c r="D2" s="4"/>
      <c r="E2" s="4"/>
      <c r="F2" s="4"/>
      <c r="G2" s="4"/>
      <c r="H2" s="4"/>
      <c r="I2" s="4"/>
      <c r="J2" s="4"/>
      <c r="K2" s="4"/>
      <c r="L2" s="10" t="s">
        <v>0</v>
      </c>
      <c r="M2" s="165">
        <v>46112.0</v>
      </c>
      <c r="N2" s="12"/>
      <c r="O2" s="4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6"/>
      <c r="AC2" s="6"/>
      <c r="AD2" s="6"/>
      <c r="AE2" s="6"/>
      <c r="AF2" s="6"/>
      <c r="AG2" s="6"/>
      <c r="AH2" s="6"/>
      <c r="AI2" s="6"/>
      <c r="AJ2" s="6"/>
      <c r="AK2" s="8"/>
      <c r="AL2" s="8"/>
      <c r="AM2" s="8"/>
    </row>
    <row r="3" ht="12.75" customHeight="1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3"/>
      <c r="O3" s="4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8"/>
      <c r="AL3" s="8"/>
      <c r="AM3" s="8"/>
    </row>
    <row r="4" ht="12.75" customHeight="1">
      <c r="A4" s="15" t="s">
        <v>109</v>
      </c>
      <c r="B4" s="4"/>
      <c r="C4" s="4"/>
      <c r="D4" s="4"/>
      <c r="E4" s="4"/>
      <c r="F4" s="4"/>
      <c r="G4" s="4"/>
      <c r="H4" s="4"/>
      <c r="I4" s="4"/>
      <c r="J4" s="4"/>
      <c r="K4" s="4"/>
      <c r="L4" s="10" t="s">
        <v>2</v>
      </c>
      <c r="M4" s="16" t="s">
        <v>3</v>
      </c>
      <c r="N4" s="12"/>
      <c r="O4" s="4"/>
      <c r="P4" s="5"/>
      <c r="Q4" s="6"/>
      <c r="R4" s="6"/>
      <c r="S4" s="6"/>
      <c r="T4" s="6"/>
      <c r="U4" s="6"/>
      <c r="V4" s="6"/>
      <c r="W4" s="6"/>
      <c r="X4" s="6"/>
      <c r="Y4" s="6"/>
      <c r="Z4" s="6"/>
      <c r="AA4" s="7"/>
      <c r="AB4" s="6"/>
      <c r="AC4" s="6"/>
      <c r="AD4" s="6"/>
      <c r="AE4" s="6"/>
      <c r="AF4" s="6"/>
      <c r="AG4" s="6"/>
      <c r="AH4" s="6"/>
      <c r="AI4" s="6"/>
      <c r="AJ4" s="6"/>
      <c r="AK4" s="8"/>
      <c r="AL4" s="8"/>
      <c r="AM4" s="8"/>
    </row>
    <row r="5" ht="12.75" customHeight="1">
      <c r="A5" s="21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10" t="s">
        <v>6</v>
      </c>
      <c r="M5" s="22"/>
      <c r="N5" s="12"/>
      <c r="O5" s="4"/>
      <c r="P5" s="5"/>
      <c r="Q5" s="6"/>
      <c r="R5" s="6"/>
      <c r="S5" s="6"/>
      <c r="T5" s="6"/>
      <c r="U5" s="6"/>
      <c r="V5" s="6"/>
      <c r="W5" s="6"/>
      <c r="X5" s="6"/>
      <c r="Y5" s="6"/>
      <c r="Z5" s="6"/>
      <c r="AA5" s="7"/>
      <c r="AB5" s="6"/>
      <c r="AC5" s="6"/>
      <c r="AD5" s="6"/>
      <c r="AE5" s="6"/>
      <c r="AF5" s="6"/>
      <c r="AG5" s="6"/>
      <c r="AH5" s="6"/>
      <c r="AI5" s="6"/>
      <c r="AJ5" s="6"/>
      <c r="AK5" s="8"/>
      <c r="AL5" s="8"/>
      <c r="AM5" s="8"/>
    </row>
    <row r="6" ht="12.75" customHeight="1">
      <c r="A6" s="2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3"/>
      <c r="O6" s="4"/>
      <c r="P6" s="5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8"/>
      <c r="AL6" s="8"/>
      <c r="AM6" s="8"/>
    </row>
    <row r="7" ht="13.5" customHeight="1">
      <c r="A7" s="9" t="s">
        <v>9</v>
      </c>
      <c r="B7" s="25"/>
      <c r="C7" s="26" t="s">
        <v>10</v>
      </c>
      <c r="D7" s="27" t="s">
        <v>11</v>
      </c>
      <c r="E7" s="26"/>
      <c r="F7" s="26"/>
      <c r="G7" s="26"/>
      <c r="H7" s="26"/>
      <c r="I7" s="26"/>
      <c r="J7" s="26"/>
      <c r="K7" s="26"/>
      <c r="L7" s="26"/>
      <c r="M7" s="26"/>
      <c r="N7" s="28"/>
      <c r="O7" s="4"/>
      <c r="P7" s="5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8"/>
      <c r="AL7" s="8"/>
      <c r="AM7" s="8"/>
    </row>
    <row r="8" hidden="1">
      <c r="A8" s="9" t="s">
        <v>12</v>
      </c>
      <c r="B8" s="4" t="s">
        <v>13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3"/>
      <c r="O8" s="4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8"/>
      <c r="AL8" s="8"/>
      <c r="AM8" s="8"/>
    </row>
    <row r="9" hidden="1">
      <c r="A9" s="9" t="s">
        <v>14</v>
      </c>
      <c r="B9" s="4" t="s">
        <v>15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3"/>
      <c r="O9" s="4"/>
      <c r="P9" s="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8"/>
      <c r="AL9" s="8"/>
      <c r="AM9" s="8"/>
    </row>
    <row r="10" ht="12.75" customHeight="1">
      <c r="A10" s="9"/>
      <c r="B10" s="4"/>
      <c r="C10" s="4"/>
      <c r="D10" s="4"/>
      <c r="E10" s="4"/>
      <c r="F10" s="4"/>
      <c r="G10" s="4"/>
      <c r="H10" s="4"/>
      <c r="I10" s="4"/>
      <c r="J10" s="32"/>
      <c r="K10" s="4"/>
      <c r="L10" s="4"/>
      <c r="M10" s="4"/>
      <c r="N10" s="13"/>
      <c r="O10" s="4"/>
      <c r="P10" s="5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8"/>
      <c r="AL10" s="8"/>
      <c r="AM10" s="8"/>
    </row>
    <row r="11" ht="12.75" customHeight="1">
      <c r="A11" s="33" t="s">
        <v>16</v>
      </c>
      <c r="B11" s="26"/>
      <c r="C11" s="26" t="s">
        <v>10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4"/>
      <c r="P11" s="5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8"/>
      <c r="AL11" s="8"/>
      <c r="AM11" s="8"/>
    </row>
    <row r="12" ht="12.75" customHeight="1">
      <c r="A12" s="33" t="s">
        <v>17</v>
      </c>
      <c r="B12" s="26"/>
      <c r="C12" s="26" t="s">
        <v>10</v>
      </c>
      <c r="D12" s="34"/>
      <c r="E12" s="4"/>
      <c r="F12" s="4"/>
      <c r="G12" s="4"/>
      <c r="H12" s="4"/>
      <c r="I12" s="4"/>
      <c r="J12" s="4"/>
      <c r="K12" s="4"/>
      <c r="L12" s="4"/>
      <c r="M12" s="4"/>
      <c r="N12" s="13"/>
      <c r="O12" s="4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7"/>
      <c r="AB12" s="6"/>
      <c r="AC12" s="6"/>
      <c r="AD12" s="6"/>
      <c r="AE12" s="6"/>
      <c r="AF12" s="6"/>
      <c r="AG12" s="6"/>
      <c r="AH12" s="6"/>
      <c r="AI12" s="6"/>
      <c r="AJ12" s="6"/>
      <c r="AK12" s="8"/>
      <c r="AL12" s="8"/>
      <c r="AM12" s="8"/>
    </row>
    <row r="13" ht="12.75" customHeight="1">
      <c r="A13" s="33"/>
      <c r="B13" s="26"/>
      <c r="C13" s="26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5"/>
      <c r="O13" s="4"/>
      <c r="P13" s="5"/>
      <c r="Q13" s="6"/>
      <c r="R13" s="6"/>
      <c r="S13" s="6"/>
      <c r="T13" s="6"/>
      <c r="U13" s="6"/>
      <c r="V13" s="6"/>
      <c r="W13" s="6"/>
      <c r="X13" s="6"/>
      <c r="Y13" s="6"/>
      <c r="Z13" s="6"/>
      <c r="AA13" s="7"/>
      <c r="AB13" s="6"/>
      <c r="AC13" s="6"/>
      <c r="AD13" s="6"/>
      <c r="AE13" s="6"/>
      <c r="AF13" s="6"/>
      <c r="AG13" s="6"/>
      <c r="AH13" s="6"/>
      <c r="AI13" s="6"/>
      <c r="AJ13" s="6"/>
      <c r="AK13" s="8"/>
      <c r="AL13" s="8"/>
      <c r="AM13" s="8"/>
    </row>
    <row r="14" ht="12.75" customHeight="1">
      <c r="A14" s="33" t="s">
        <v>18</v>
      </c>
      <c r="B14" s="26"/>
      <c r="C14" s="26" t="s">
        <v>10</v>
      </c>
      <c r="D14" s="36" t="s">
        <v>19</v>
      </c>
      <c r="N14" s="28"/>
      <c r="O14" s="4"/>
      <c r="P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7"/>
      <c r="AB14" s="6"/>
      <c r="AC14" s="6"/>
      <c r="AD14" s="6"/>
      <c r="AE14" s="6"/>
      <c r="AF14" s="6"/>
      <c r="AG14" s="6"/>
      <c r="AH14" s="6"/>
      <c r="AI14" s="6"/>
      <c r="AJ14" s="6"/>
      <c r="AK14" s="8"/>
      <c r="AL14" s="8"/>
      <c r="AM14" s="8"/>
    </row>
    <row r="15" ht="12.75" customHeight="1">
      <c r="A15" s="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3"/>
      <c r="O15" s="4"/>
      <c r="P15" s="37"/>
      <c r="Q15" s="38"/>
      <c r="R15" s="38"/>
      <c r="S15" s="38"/>
      <c r="T15" s="6"/>
      <c r="U15" s="6"/>
      <c r="V15" s="6"/>
      <c r="W15" s="6"/>
      <c r="X15" s="6"/>
      <c r="Y15" s="6"/>
      <c r="Z15" s="6"/>
      <c r="AA15" s="7"/>
      <c r="AB15" s="6"/>
      <c r="AC15" s="6"/>
      <c r="AD15" s="6"/>
      <c r="AE15" s="39" t="s">
        <v>20</v>
      </c>
      <c r="AF15" s="46">
        <v>0.0</v>
      </c>
      <c r="AG15" s="6"/>
      <c r="AH15" s="6"/>
      <c r="AI15" s="6"/>
      <c r="AJ15" s="6"/>
      <c r="AK15" s="8"/>
      <c r="AL15" s="8"/>
      <c r="AM15" s="8"/>
    </row>
    <row r="16">
      <c r="A16" s="41" t="s">
        <v>21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3"/>
      <c r="O16" s="4"/>
      <c r="P16" s="44">
        <v>0.25</v>
      </c>
      <c r="Q16" s="45" t="s">
        <v>22</v>
      </c>
      <c r="R16" s="38"/>
      <c r="S16" s="38"/>
      <c r="T16" s="38"/>
      <c r="U16" s="38"/>
      <c r="V16" s="38"/>
      <c r="W16" s="38"/>
      <c r="X16" s="38"/>
      <c r="Y16" s="38"/>
      <c r="Z16" s="6"/>
      <c r="AA16" s="7"/>
      <c r="AB16" s="6"/>
      <c r="AC16" s="6"/>
      <c r="AD16" s="6"/>
      <c r="AE16" s="39" t="s">
        <v>23</v>
      </c>
      <c r="AF16" s="46">
        <f>0.01*AF15</f>
        <v>0</v>
      </c>
      <c r="AG16" s="38"/>
      <c r="AH16" s="6"/>
      <c r="AI16" s="47" t="s">
        <v>24</v>
      </c>
      <c r="AJ16" s="46"/>
      <c r="AK16" s="8"/>
      <c r="AL16" s="8"/>
      <c r="AM16" s="8"/>
    </row>
    <row r="17" ht="12.75" customHeight="1">
      <c r="A17" s="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3"/>
      <c r="O17" s="4"/>
      <c r="P17" s="48" t="s">
        <v>25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50"/>
      <c r="AK17" s="8"/>
      <c r="AL17" s="8"/>
      <c r="AM17" s="8"/>
    </row>
    <row r="18" ht="12.75" customHeight="1">
      <c r="A18" s="9" t="s">
        <v>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3"/>
      <c r="AK18" s="8"/>
      <c r="AL18" s="8"/>
      <c r="AM18" s="8"/>
    </row>
    <row r="19" ht="7.5" customHeight="1">
      <c r="A19" s="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4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7"/>
      <c r="AJ19" s="8"/>
      <c r="AK19" s="8"/>
      <c r="AL19" s="8"/>
      <c r="AM19" s="8"/>
    </row>
    <row r="20" ht="58.5" customHeight="1">
      <c r="A20" s="58" t="s">
        <v>27</v>
      </c>
      <c r="B20" s="59" t="s">
        <v>28</v>
      </c>
      <c r="C20" s="42"/>
      <c r="D20" s="42"/>
      <c r="E20" s="42"/>
      <c r="F20" s="42"/>
      <c r="G20" s="42"/>
      <c r="H20" s="42"/>
      <c r="I20" s="42"/>
      <c r="J20" s="43"/>
      <c r="K20" s="60" t="s">
        <v>29</v>
      </c>
      <c r="L20" s="43"/>
      <c r="M20" s="58" t="s">
        <v>30</v>
      </c>
      <c r="N20" s="61" t="s">
        <v>31</v>
      </c>
      <c r="O20" s="54"/>
      <c r="P20" s="62" t="s">
        <v>32</v>
      </c>
      <c r="Q20" s="62" t="s">
        <v>33</v>
      </c>
      <c r="R20" s="62" t="s">
        <v>34</v>
      </c>
      <c r="S20" s="62" t="s">
        <v>35</v>
      </c>
      <c r="T20" s="62" t="s">
        <v>36</v>
      </c>
      <c r="U20" s="62" t="s">
        <v>37</v>
      </c>
      <c r="V20" s="62" t="s">
        <v>38</v>
      </c>
      <c r="W20" s="62" t="s">
        <v>39</v>
      </c>
      <c r="X20" s="63" t="s">
        <v>40</v>
      </c>
      <c r="Y20" s="63" t="s">
        <v>41</v>
      </c>
      <c r="Z20" s="63" t="s">
        <v>42</v>
      </c>
      <c r="AA20" s="63" t="s">
        <v>43</v>
      </c>
      <c r="AB20" s="64" t="s">
        <v>44</v>
      </c>
      <c r="AC20" s="65" t="s">
        <v>23</v>
      </c>
      <c r="AD20" s="66" t="s">
        <v>45</v>
      </c>
      <c r="AE20" s="67" t="s">
        <v>46</v>
      </c>
      <c r="AF20" s="67" t="s">
        <v>47</v>
      </c>
      <c r="AG20" s="65" t="s">
        <v>48</v>
      </c>
      <c r="AH20" s="66" t="s">
        <v>49</v>
      </c>
      <c r="AI20" s="67" t="s">
        <v>50</v>
      </c>
      <c r="AJ20" s="67" t="s">
        <v>51</v>
      </c>
      <c r="AK20" s="8"/>
      <c r="AL20" s="8"/>
      <c r="AM20" s="8"/>
    </row>
    <row r="21" ht="15.75" customHeight="1">
      <c r="A21" s="68"/>
      <c r="B21" s="69"/>
      <c r="C21" s="69"/>
      <c r="D21" s="70"/>
      <c r="E21" s="70"/>
      <c r="F21" s="70"/>
      <c r="G21" s="70"/>
      <c r="H21" s="70"/>
      <c r="I21" s="70"/>
      <c r="J21" s="70"/>
      <c r="K21" s="71"/>
      <c r="L21" s="72"/>
      <c r="M21" s="73"/>
      <c r="N21" s="74"/>
      <c r="O21" s="54"/>
      <c r="P21" s="75"/>
      <c r="Q21" s="75"/>
      <c r="R21" s="75"/>
      <c r="S21" s="75"/>
      <c r="T21" s="75"/>
      <c r="U21" s="75"/>
      <c r="V21" s="75"/>
      <c r="W21" s="75"/>
      <c r="X21" s="76"/>
      <c r="Y21" s="76"/>
      <c r="Z21" s="76"/>
      <c r="AA21" s="77"/>
      <c r="AB21" s="78"/>
      <c r="AC21" s="79"/>
      <c r="AD21" s="79"/>
      <c r="AE21" s="80"/>
      <c r="AF21" s="81"/>
      <c r="AG21" s="79"/>
      <c r="AH21" s="79"/>
      <c r="AI21" s="80"/>
      <c r="AJ21" s="81"/>
      <c r="AK21" s="8"/>
      <c r="AL21" s="8"/>
      <c r="AM21" s="8"/>
    </row>
    <row r="22" ht="15.75" customHeight="1">
      <c r="A22" s="82">
        <v>1.0</v>
      </c>
      <c r="B22" s="166" t="s">
        <v>110</v>
      </c>
      <c r="C22" s="84"/>
      <c r="D22" s="84"/>
      <c r="E22" s="84"/>
      <c r="F22" s="84"/>
      <c r="G22" s="84"/>
      <c r="H22" s="85"/>
      <c r="I22" s="86"/>
      <c r="J22" s="87"/>
      <c r="K22" s="88">
        <v>30.0</v>
      </c>
      <c r="L22" s="89" t="s">
        <v>53</v>
      </c>
      <c r="M22" s="90">
        <f>ROUNDUP(Z22+AC22+AG22,-2)</f>
        <v>2700</v>
      </c>
      <c r="N22" s="91">
        <f>M22*K22</f>
        <v>81000</v>
      </c>
      <c r="O22" s="54"/>
      <c r="P22" s="92">
        <v>1929.87</v>
      </c>
      <c r="Q22" s="92">
        <f>P22*1.03</f>
        <v>1987.7661</v>
      </c>
      <c r="R22" s="92">
        <f>Q22*1.015</f>
        <v>2017.582592</v>
      </c>
      <c r="S22" s="92">
        <f>R22*K22</f>
        <v>60527.47775</v>
      </c>
      <c r="T22" s="92">
        <f>R22/(1-$P$16)</f>
        <v>2690.110122</v>
      </c>
      <c r="U22" s="92">
        <f>(T22-R22)/1.12*K22</f>
        <v>18014.13028</v>
      </c>
      <c r="V22" s="92">
        <f>R22/(1-$P$16)</f>
        <v>2690.110122</v>
      </c>
      <c r="W22" s="92">
        <f>(V22-R22)/1.12</f>
        <v>600.4710094</v>
      </c>
      <c r="X22" s="93">
        <f>W22*0.12</f>
        <v>72.05652113</v>
      </c>
      <c r="Y22" s="93">
        <f>U22*0.12</f>
        <v>2161.695634</v>
      </c>
      <c r="Z22" s="94">
        <f>R22+W22+X22</f>
        <v>2690.110122</v>
      </c>
      <c r="AA22" s="95">
        <f>S22+U22+Y22</f>
        <v>80703.30366</v>
      </c>
      <c r="AB22" s="96">
        <f>(W22+X22)/Z22</f>
        <v>0.25</v>
      </c>
      <c r="AC22" s="97">
        <f>Z22*$AF$16</f>
        <v>0</v>
      </c>
      <c r="AD22" s="97">
        <f>(AC22)/1.12</f>
        <v>0</v>
      </c>
      <c r="AE22" s="98">
        <f>(AC22/1.12)*0.12</f>
        <v>0</v>
      </c>
      <c r="AF22" s="99">
        <f>AC22*K22</f>
        <v>0</v>
      </c>
      <c r="AG22" s="97">
        <f>(Z22+AC22)*$AJ$16</f>
        <v>0</v>
      </c>
      <c r="AH22" s="97">
        <f>(AG22)/1.12</f>
        <v>0</v>
      </c>
      <c r="AI22" s="98">
        <f>(AG22/1.12)*0.12</f>
        <v>0</v>
      </c>
      <c r="AJ22" s="99">
        <f>AG22*K22</f>
        <v>0</v>
      </c>
      <c r="AK22" s="100"/>
      <c r="AL22" s="8"/>
      <c r="AM22" s="8"/>
      <c r="AN22" s="101"/>
      <c r="AO22" s="101"/>
    </row>
    <row r="23" ht="15.75" customHeight="1">
      <c r="A23" s="102"/>
      <c r="B23" s="85" t="s">
        <v>54</v>
      </c>
      <c r="C23" s="85"/>
      <c r="D23" s="85"/>
      <c r="E23" s="85"/>
      <c r="F23" s="85"/>
      <c r="G23" s="85"/>
      <c r="H23" s="85"/>
      <c r="I23" s="86"/>
      <c r="J23" s="87"/>
      <c r="K23" s="103"/>
      <c r="L23" s="72"/>
      <c r="M23" s="74"/>
      <c r="N23" s="74"/>
      <c r="O23" s="54"/>
      <c r="P23" s="104"/>
      <c r="Q23" s="105"/>
      <c r="R23" s="105"/>
      <c r="S23" s="105"/>
      <c r="T23" s="105"/>
      <c r="U23" s="106"/>
      <c r="V23" s="105"/>
      <c r="W23" s="106"/>
      <c r="X23" s="107"/>
      <c r="Y23" s="107"/>
      <c r="Z23" s="108"/>
      <c r="AA23" s="109"/>
      <c r="AB23" s="110"/>
      <c r="AC23" s="79"/>
      <c r="AD23" s="79"/>
      <c r="AE23" s="111"/>
      <c r="AF23" s="81"/>
      <c r="AG23" s="79"/>
      <c r="AH23" s="79"/>
      <c r="AI23" s="111"/>
      <c r="AJ23" s="81"/>
      <c r="AK23" s="8"/>
      <c r="AL23" s="8"/>
      <c r="AM23" s="8"/>
      <c r="AN23" s="101"/>
      <c r="AO23" s="101"/>
    </row>
    <row r="24" ht="15.75" customHeight="1">
      <c r="A24" s="102"/>
      <c r="B24" s="85" t="s">
        <v>55</v>
      </c>
      <c r="C24" s="85"/>
      <c r="D24" s="85"/>
      <c r="E24" s="85"/>
      <c r="F24" s="85"/>
      <c r="G24" s="85"/>
      <c r="H24" s="85"/>
      <c r="I24" s="86"/>
      <c r="J24" s="87"/>
      <c r="K24" s="103"/>
      <c r="L24" s="72"/>
      <c r="M24" s="74"/>
      <c r="N24" s="74"/>
      <c r="O24" s="54"/>
      <c r="P24" s="104"/>
      <c r="Q24" s="105"/>
      <c r="R24" s="105"/>
      <c r="S24" s="105"/>
      <c r="T24" s="105"/>
      <c r="U24" s="106"/>
      <c r="V24" s="105"/>
      <c r="W24" s="106"/>
      <c r="X24" s="107"/>
      <c r="Y24" s="107"/>
      <c r="Z24" s="108"/>
      <c r="AA24" s="109"/>
      <c r="AB24" s="110"/>
      <c r="AC24" s="79"/>
      <c r="AD24" s="79"/>
      <c r="AE24" s="111"/>
      <c r="AF24" s="81"/>
      <c r="AG24" s="79"/>
      <c r="AH24" s="79"/>
      <c r="AI24" s="111"/>
      <c r="AJ24" s="81"/>
      <c r="AK24" s="8"/>
      <c r="AL24" s="8"/>
      <c r="AM24" s="8"/>
      <c r="AN24" s="101"/>
      <c r="AO24" s="101"/>
    </row>
    <row r="25" ht="15.75" customHeight="1">
      <c r="A25" s="102"/>
      <c r="B25" s="85" t="s">
        <v>111</v>
      </c>
      <c r="C25" s="85"/>
      <c r="D25" s="85"/>
      <c r="E25" s="85"/>
      <c r="F25" s="85"/>
      <c r="G25" s="85"/>
      <c r="H25" s="85"/>
      <c r="I25" s="85"/>
      <c r="J25" s="87"/>
      <c r="K25" s="103"/>
      <c r="L25" s="72"/>
      <c r="M25" s="74"/>
      <c r="N25" s="74"/>
      <c r="O25" s="54"/>
      <c r="P25" s="104"/>
      <c r="Q25" s="105"/>
      <c r="R25" s="105"/>
      <c r="S25" s="105"/>
      <c r="T25" s="105"/>
      <c r="U25" s="106"/>
      <c r="V25" s="105"/>
      <c r="W25" s="106"/>
      <c r="X25" s="107"/>
      <c r="Y25" s="107"/>
      <c r="Z25" s="108"/>
      <c r="AA25" s="109"/>
      <c r="AB25" s="110"/>
      <c r="AC25" s="79"/>
      <c r="AD25" s="79"/>
      <c r="AE25" s="111"/>
      <c r="AF25" s="81"/>
      <c r="AG25" s="79"/>
      <c r="AH25" s="79"/>
      <c r="AI25" s="111"/>
      <c r="AJ25" s="81"/>
      <c r="AK25" s="8"/>
      <c r="AL25" s="8"/>
      <c r="AM25" s="8"/>
      <c r="AN25" s="101"/>
      <c r="AO25" s="101"/>
    </row>
    <row r="26" ht="15.75" customHeight="1">
      <c r="A26" s="102"/>
      <c r="B26" s="85"/>
      <c r="C26" s="85"/>
      <c r="D26" s="85"/>
      <c r="E26" s="85"/>
      <c r="F26" s="85"/>
      <c r="G26" s="85"/>
      <c r="H26" s="85"/>
      <c r="I26" s="85"/>
      <c r="J26" s="87"/>
      <c r="K26" s="103"/>
      <c r="L26" s="72"/>
      <c r="M26" s="74"/>
      <c r="N26" s="74"/>
      <c r="O26" s="54"/>
      <c r="P26" s="104"/>
      <c r="Q26" s="105"/>
      <c r="R26" s="105"/>
      <c r="S26" s="105"/>
      <c r="T26" s="105"/>
      <c r="U26" s="106"/>
      <c r="V26" s="105"/>
      <c r="W26" s="106"/>
      <c r="X26" s="107"/>
      <c r="Y26" s="107"/>
      <c r="Z26" s="108"/>
      <c r="AA26" s="109"/>
      <c r="AB26" s="110"/>
      <c r="AC26" s="79"/>
      <c r="AD26" s="79"/>
      <c r="AE26" s="111"/>
      <c r="AF26" s="81"/>
      <c r="AG26" s="79"/>
      <c r="AH26" s="79"/>
      <c r="AI26" s="111"/>
      <c r="AJ26" s="81"/>
      <c r="AK26" s="8"/>
      <c r="AL26" s="8"/>
      <c r="AM26" s="8"/>
      <c r="AN26" s="101"/>
      <c r="AO26" s="101"/>
    </row>
    <row r="27" ht="13.5" customHeight="1">
      <c r="A27" s="68"/>
      <c r="B27" s="112" t="s">
        <v>57</v>
      </c>
      <c r="J27" s="12"/>
      <c r="K27" s="113"/>
      <c r="L27" s="114"/>
      <c r="M27" s="115"/>
      <c r="N27" s="116"/>
      <c r="O27" s="54"/>
      <c r="P27" s="117">
        <f>S27-R27-Q27</f>
        <v>57803.74125</v>
      </c>
      <c r="Q27" s="117">
        <f>S27*0.03</f>
        <v>1815.824332</v>
      </c>
      <c r="R27" s="117">
        <f>S27*0.015</f>
        <v>907.9121662</v>
      </c>
      <c r="S27" s="117">
        <f>SUM(S20:S26)</f>
        <v>60527.47775</v>
      </c>
      <c r="T27" s="118"/>
      <c r="U27" s="118">
        <f>SUM(U21:U26)</f>
        <v>18014.13028</v>
      </c>
      <c r="V27" s="118"/>
      <c r="W27" s="118">
        <f>SUM(W21:W26)</f>
        <v>600.4710094</v>
      </c>
      <c r="X27" s="107"/>
      <c r="Y27" s="107"/>
      <c r="Z27" s="119" t="s">
        <v>58</v>
      </c>
      <c r="AA27" s="119">
        <f>SUM(AA21:AA26)</f>
        <v>80703.30366</v>
      </c>
      <c r="AB27" s="120"/>
      <c r="AC27" s="121"/>
      <c r="AD27" s="121"/>
      <c r="AE27" s="121"/>
      <c r="AF27" s="121"/>
      <c r="AG27" s="122" t="s">
        <v>59</v>
      </c>
      <c r="AH27" s="123">
        <f>SUM(AG21:AG26)</f>
        <v>0</v>
      </c>
      <c r="AI27" s="124">
        <f t="shared" ref="AI27:AJ27" si="1">SUM(AI21:AI26)</f>
        <v>0</v>
      </c>
      <c r="AJ27" s="123">
        <f t="shared" si="1"/>
        <v>0</v>
      </c>
      <c r="AK27" s="8"/>
      <c r="AL27" s="8"/>
      <c r="AM27" s="8"/>
    </row>
    <row r="28" ht="15.75" customHeight="1">
      <c r="A28" s="125"/>
      <c r="B28" s="126"/>
      <c r="C28" s="52"/>
      <c r="D28" s="52"/>
      <c r="E28" s="52"/>
      <c r="F28" s="52"/>
      <c r="G28" s="52"/>
      <c r="H28" s="52"/>
      <c r="I28" s="127"/>
      <c r="J28" s="128"/>
      <c r="K28" s="113"/>
      <c r="L28" s="114"/>
      <c r="M28" s="129"/>
      <c r="N28" s="115"/>
      <c r="O28" s="26"/>
      <c r="P28" s="130" t="s">
        <v>60</v>
      </c>
      <c r="Q28" s="130" t="s">
        <v>61</v>
      </c>
      <c r="R28" s="130" t="s">
        <v>34</v>
      </c>
      <c r="S28" s="130" t="s">
        <v>62</v>
      </c>
      <c r="T28" s="131"/>
      <c r="U28" s="131"/>
      <c r="V28" s="131"/>
      <c r="W28" s="131"/>
      <c r="X28" s="131"/>
      <c r="Y28" s="132"/>
      <c r="Z28" s="132"/>
      <c r="AA28" s="133"/>
      <c r="AB28" s="134"/>
      <c r="AC28" s="134"/>
      <c r="AD28" s="134"/>
      <c r="AE28" s="134"/>
      <c r="AF28" s="134"/>
      <c r="AG28" s="135"/>
      <c r="AH28" s="135"/>
      <c r="AI28" s="136"/>
      <c r="AJ28" s="137"/>
      <c r="AK28" s="138"/>
      <c r="AL28" s="138"/>
      <c r="AM28" s="138"/>
    </row>
    <row r="29" ht="15.75" customHeight="1">
      <c r="A29" s="139"/>
      <c r="B29" s="140"/>
      <c r="C29" s="140"/>
      <c r="D29" s="140"/>
      <c r="E29" s="140"/>
      <c r="F29" s="140"/>
      <c r="G29" s="140"/>
      <c r="H29" s="140"/>
      <c r="I29" s="140"/>
      <c r="J29" s="140"/>
      <c r="K29" s="141" t="s">
        <v>63</v>
      </c>
      <c r="L29" s="142"/>
      <c r="M29" s="142"/>
      <c r="N29" s="143">
        <f>SUM(N21:N28)</f>
        <v>81000</v>
      </c>
      <c r="O29" s="14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  <c r="AB29" s="6"/>
      <c r="AC29" s="6"/>
      <c r="AD29" s="6"/>
      <c r="AE29" s="6"/>
      <c r="AF29" s="6"/>
      <c r="AG29" s="6"/>
      <c r="AH29" s="6"/>
      <c r="AI29" s="6"/>
      <c r="AJ29" s="6"/>
      <c r="AK29" s="8"/>
      <c r="AL29" s="8"/>
      <c r="AM29" s="8"/>
    </row>
    <row r="30" ht="15.75" customHeight="1">
      <c r="A30" s="4"/>
      <c r="B30" s="4"/>
      <c r="C30" s="145"/>
      <c r="D30" s="146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"/>
      <c r="P30" s="5"/>
      <c r="Q30" s="6"/>
      <c r="R30" s="6"/>
      <c r="S30" s="6"/>
      <c r="T30" s="6"/>
      <c r="U30" s="6"/>
      <c r="V30" s="6"/>
      <c r="W30" s="6"/>
      <c r="X30" s="6"/>
      <c r="Y30" s="6"/>
      <c r="Z30" s="6"/>
      <c r="AA30" s="7"/>
      <c r="AB30" s="6"/>
      <c r="AC30" s="6"/>
      <c r="AD30" s="6"/>
      <c r="AE30" s="6"/>
      <c r="AF30" s="6"/>
      <c r="AG30" s="6"/>
      <c r="AH30" s="6"/>
      <c r="AI30" s="6"/>
      <c r="AJ30" s="6"/>
      <c r="AK30" s="8"/>
      <c r="AL30" s="8"/>
      <c r="AM30" s="8"/>
    </row>
    <row r="31" ht="15.75" customHeight="1">
      <c r="A31" s="26" t="s">
        <v>112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  <c r="Q31" s="6"/>
      <c r="R31" s="6"/>
      <c r="S31" s="6"/>
      <c r="T31" s="6"/>
      <c r="U31" s="6"/>
      <c r="V31" s="6"/>
      <c r="W31" s="6"/>
      <c r="X31" s="6"/>
      <c r="Y31" s="6"/>
      <c r="Z31" s="147"/>
      <c r="AA31" s="7"/>
      <c r="AB31" s="6"/>
      <c r="AC31" s="6"/>
      <c r="AD31" s="6"/>
      <c r="AE31" s="6"/>
      <c r="AF31" s="6"/>
      <c r="AG31" s="6"/>
      <c r="AH31" s="6"/>
      <c r="AI31" s="6"/>
      <c r="AJ31" s="6"/>
      <c r="AK31" s="8"/>
      <c r="AL31" s="8"/>
      <c r="AM31" s="8"/>
    </row>
    <row r="32" ht="15.75" customHeight="1">
      <c r="A32" s="4" t="s">
        <v>65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  <c r="Q32" s="6"/>
      <c r="R32" s="6"/>
      <c r="S32" s="6"/>
      <c r="T32" s="6"/>
      <c r="U32" s="6"/>
      <c r="V32" s="6"/>
      <c r="W32" s="6"/>
      <c r="X32" s="6"/>
      <c r="Y32" s="6"/>
      <c r="Z32" s="148"/>
      <c r="AA32" s="7"/>
      <c r="AB32" s="6"/>
      <c r="AC32" s="6"/>
      <c r="AD32" s="6"/>
      <c r="AE32" s="6"/>
      <c r="AF32" s="6"/>
      <c r="AG32" s="6"/>
      <c r="AH32" s="6"/>
      <c r="AI32" s="6"/>
      <c r="AJ32" s="6"/>
      <c r="AK32" s="8"/>
      <c r="AL32" s="8"/>
      <c r="AM32" s="8"/>
    </row>
    <row r="33" ht="15.75" customHeight="1">
      <c r="A33" s="4" t="s">
        <v>66</v>
      </c>
      <c r="B33" s="4"/>
      <c r="C33" s="4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4"/>
      <c r="O33" s="4"/>
      <c r="P33" s="5"/>
      <c r="Q33" s="150"/>
      <c r="R33" s="6" t="s">
        <v>113</v>
      </c>
      <c r="S33" s="6">
        <v>1600.0</v>
      </c>
      <c r="T33" s="6"/>
      <c r="U33" s="6"/>
      <c r="V33" s="6"/>
      <c r="W33" s="6"/>
      <c r="X33" s="6"/>
      <c r="Y33" s="6"/>
      <c r="Z33" s="6"/>
      <c r="AA33" s="7"/>
      <c r="AB33" s="6"/>
      <c r="AC33" s="6"/>
      <c r="AD33" s="6"/>
      <c r="AE33" s="6"/>
      <c r="AF33" s="6"/>
      <c r="AG33" s="6"/>
      <c r="AH33" s="6"/>
      <c r="AI33" s="6"/>
      <c r="AJ33" s="6"/>
      <c r="AK33" s="8"/>
      <c r="AL33" s="8"/>
      <c r="AM33" s="8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  <c r="Q34" s="6"/>
      <c r="R34" s="6" t="s">
        <v>114</v>
      </c>
      <c r="S34" s="6">
        <v>1300.0</v>
      </c>
      <c r="T34" s="6"/>
      <c r="U34" s="6"/>
      <c r="V34" s="6"/>
      <c r="W34" s="6"/>
      <c r="X34" s="6"/>
      <c r="Y34" s="6"/>
      <c r="Z34" s="6"/>
      <c r="AA34" s="7"/>
      <c r="AB34" s="6"/>
      <c r="AC34" s="6"/>
      <c r="AD34" s="6"/>
      <c r="AE34" s="6"/>
      <c r="AF34" s="6"/>
      <c r="AG34" s="6"/>
      <c r="AH34" s="6"/>
      <c r="AI34" s="6"/>
      <c r="AJ34" s="6"/>
      <c r="AK34" s="8"/>
      <c r="AL34" s="8"/>
      <c r="AM34" s="8"/>
    </row>
    <row r="35" ht="15.75" customHeight="1">
      <c r="A35" s="4" t="s">
        <v>70</v>
      </c>
      <c r="B35" s="4"/>
      <c r="C35" s="4"/>
      <c r="D35" s="4" t="s">
        <v>71</v>
      </c>
      <c r="O35" s="4"/>
      <c r="P35" s="5"/>
      <c r="Q35" s="6"/>
      <c r="R35" s="6" t="s">
        <v>72</v>
      </c>
      <c r="S35" s="6">
        <v>300.0</v>
      </c>
      <c r="T35" s="6"/>
      <c r="U35" s="6"/>
      <c r="V35" s="6"/>
      <c r="W35" s="6"/>
      <c r="X35" s="6"/>
      <c r="Y35" s="6"/>
      <c r="Z35" s="6"/>
      <c r="AA35" s="7"/>
      <c r="AB35" s="6"/>
      <c r="AC35" s="6"/>
      <c r="AD35" s="6"/>
      <c r="AE35" s="6"/>
      <c r="AF35" s="6"/>
      <c r="AG35" s="6"/>
      <c r="AH35" s="6"/>
      <c r="AI35" s="6"/>
      <c r="AJ35" s="6"/>
      <c r="AK35" s="8"/>
      <c r="AL35" s="8"/>
      <c r="AM35" s="8"/>
    </row>
    <row r="36" ht="15.75" customHeight="1">
      <c r="A36" s="4" t="s">
        <v>73</v>
      </c>
      <c r="B36" s="4"/>
      <c r="C36" s="4"/>
      <c r="D36" s="4" t="s">
        <v>74</v>
      </c>
      <c r="L36" s="4"/>
      <c r="M36" s="4"/>
      <c r="N36" s="4"/>
      <c r="O36" s="4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  <c r="AA36" s="7"/>
      <c r="AB36" s="6"/>
      <c r="AC36" s="6"/>
      <c r="AD36" s="6"/>
      <c r="AE36" s="6"/>
      <c r="AF36" s="6"/>
      <c r="AG36" s="6"/>
      <c r="AH36" s="6"/>
      <c r="AI36" s="6"/>
      <c r="AJ36" s="6"/>
      <c r="AK36" s="8"/>
      <c r="AL36" s="8"/>
      <c r="AM36" s="8"/>
    </row>
    <row r="37" ht="15.75" customHeight="1">
      <c r="A37" s="4" t="s">
        <v>75</v>
      </c>
      <c r="B37" s="4"/>
      <c r="C37" s="4"/>
      <c r="D37" s="4" t="s">
        <v>76</v>
      </c>
      <c r="N37" s="4"/>
      <c r="O37" s="4"/>
      <c r="P37" s="5"/>
      <c r="Q37" s="6"/>
      <c r="R37" s="6"/>
      <c r="S37" s="6"/>
      <c r="T37" s="6"/>
      <c r="U37" s="6"/>
      <c r="V37" s="6"/>
      <c r="W37" s="6"/>
      <c r="X37" s="6"/>
      <c r="Y37" s="6"/>
      <c r="Z37" s="6"/>
      <c r="AA37" s="7"/>
      <c r="AB37" s="6"/>
      <c r="AC37" s="6"/>
      <c r="AD37" s="6"/>
      <c r="AE37" s="6"/>
      <c r="AF37" s="6"/>
      <c r="AG37" s="6"/>
      <c r="AH37" s="6"/>
      <c r="AI37" s="6"/>
      <c r="AJ37" s="6"/>
      <c r="AK37" s="8"/>
      <c r="AL37" s="8"/>
      <c r="AM37" s="8"/>
    </row>
    <row r="38" ht="15.75" customHeight="1">
      <c r="A38" s="4" t="s">
        <v>77</v>
      </c>
      <c r="B38" s="4"/>
      <c r="C38" s="4"/>
      <c r="D38" s="4" t="s">
        <v>78</v>
      </c>
      <c r="N38" s="4"/>
      <c r="O38" s="4"/>
      <c r="P38" s="5"/>
      <c r="Q38" s="6"/>
      <c r="R38" s="6"/>
      <c r="S38" s="6"/>
      <c r="T38" s="6"/>
      <c r="U38" s="6"/>
      <c r="V38" s="6"/>
      <c r="W38" s="6"/>
      <c r="X38" s="6"/>
      <c r="Y38" s="6"/>
      <c r="Z38" s="6"/>
      <c r="AA38" s="7"/>
      <c r="AB38" s="6"/>
      <c r="AC38" s="6"/>
      <c r="AD38" s="6"/>
      <c r="AE38" s="6"/>
      <c r="AF38" s="6"/>
      <c r="AG38" s="6"/>
      <c r="AH38" s="6"/>
      <c r="AI38" s="6"/>
      <c r="AJ38" s="6"/>
      <c r="AK38" s="8"/>
      <c r="AL38" s="8"/>
      <c r="AM38" s="8"/>
    </row>
    <row r="39" ht="15.75" customHeight="1">
      <c r="A39" s="4"/>
      <c r="B39" s="4"/>
      <c r="C39" s="4"/>
      <c r="D39" s="4" t="s">
        <v>79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  <c r="Q39" s="6"/>
      <c r="R39" s="6"/>
      <c r="S39" s="6"/>
      <c r="T39" s="6"/>
      <c r="U39" s="6"/>
      <c r="V39" s="6"/>
      <c r="W39" s="6"/>
      <c r="X39" s="6"/>
      <c r="Y39" s="6"/>
      <c r="Z39" s="6"/>
      <c r="AA39" s="7"/>
      <c r="AB39" s="6"/>
      <c r="AC39" s="6"/>
      <c r="AD39" s="6"/>
      <c r="AE39" s="6"/>
      <c r="AF39" s="6"/>
      <c r="AG39" s="6"/>
      <c r="AH39" s="6"/>
      <c r="AI39" s="6"/>
      <c r="AJ39" s="6"/>
      <c r="AK39" s="8"/>
      <c r="AL39" s="8"/>
      <c r="AM39" s="8"/>
    </row>
    <row r="40" ht="15.75" customHeight="1">
      <c r="A40" s="4"/>
      <c r="B40" s="4"/>
      <c r="C40" s="4"/>
      <c r="D40" s="4" t="s">
        <v>80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  <c r="Q40" s="6"/>
      <c r="R40" s="6"/>
      <c r="S40" s="6"/>
      <c r="T40" s="6"/>
      <c r="U40" s="6"/>
      <c r="V40" s="6"/>
      <c r="W40" s="6"/>
      <c r="X40" s="6"/>
      <c r="Y40" s="6"/>
      <c r="Z40" s="6"/>
      <c r="AA40" s="7"/>
      <c r="AB40" s="6"/>
      <c r="AC40" s="6"/>
      <c r="AD40" s="6"/>
      <c r="AE40" s="6"/>
      <c r="AF40" s="6"/>
      <c r="AG40" s="6"/>
      <c r="AH40" s="6"/>
      <c r="AI40" s="6"/>
      <c r="AJ40" s="6"/>
      <c r="AK40" s="8"/>
      <c r="AL40" s="8"/>
      <c r="AM40" s="8"/>
    </row>
    <row r="41" ht="15.75" customHeight="1">
      <c r="A41" s="4"/>
      <c r="B41" s="4"/>
      <c r="C41" s="4"/>
      <c r="D41" s="145" t="s">
        <v>81</v>
      </c>
      <c r="E41" s="152"/>
      <c r="F41" s="152"/>
      <c r="G41" s="152"/>
      <c r="H41" s="152"/>
      <c r="I41" s="152"/>
      <c r="J41" s="152"/>
      <c r="K41" s="152"/>
      <c r="L41" s="152"/>
      <c r="M41" s="152"/>
      <c r="N41" s="145"/>
      <c r="O41" s="4"/>
      <c r="P41" s="5"/>
      <c r="Q41" s="6"/>
      <c r="R41" s="6"/>
      <c r="S41" s="6"/>
      <c r="T41" s="6"/>
      <c r="U41" s="6"/>
      <c r="V41" s="6"/>
      <c r="W41" s="6"/>
      <c r="X41" s="6"/>
      <c r="Y41" s="6"/>
      <c r="Z41" s="6"/>
      <c r="AA41" s="7"/>
      <c r="AB41" s="6"/>
      <c r="AC41" s="6"/>
      <c r="AD41" s="6"/>
      <c r="AE41" s="6"/>
      <c r="AF41" s="6"/>
      <c r="AG41" s="6"/>
      <c r="AH41" s="6"/>
      <c r="AI41" s="6"/>
      <c r="AJ41" s="6"/>
      <c r="AK41" s="8"/>
      <c r="AL41" s="8"/>
      <c r="AM41" s="8"/>
    </row>
    <row r="42" ht="15.75" customHeight="1">
      <c r="A42" s="4" t="s">
        <v>82</v>
      </c>
      <c r="C42" s="4" t="s">
        <v>10</v>
      </c>
      <c r="D42" s="4" t="s">
        <v>83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6"/>
      <c r="R42" s="6"/>
      <c r="S42" s="6"/>
      <c r="T42" s="6"/>
      <c r="U42" s="6"/>
      <c r="V42" s="6"/>
      <c r="W42" s="6"/>
      <c r="X42" s="6"/>
      <c r="Y42" s="6"/>
      <c r="Z42" s="6"/>
      <c r="AA42" s="7"/>
      <c r="AB42" s="6"/>
      <c r="AC42" s="6"/>
      <c r="AD42" s="6"/>
      <c r="AE42" s="6"/>
      <c r="AF42" s="6"/>
      <c r="AG42" s="6"/>
      <c r="AH42" s="6"/>
      <c r="AI42" s="6"/>
      <c r="AJ42" s="6"/>
      <c r="AK42" s="8"/>
      <c r="AL42" s="8"/>
      <c r="AM42" s="8"/>
    </row>
    <row r="43" ht="15.75" customHeight="1">
      <c r="C43" s="4"/>
      <c r="D43" s="4" t="s">
        <v>84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6"/>
      <c r="R43" s="6"/>
      <c r="S43" s="6"/>
      <c r="T43" s="6"/>
      <c r="U43" s="6"/>
      <c r="V43" s="6"/>
      <c r="W43" s="6"/>
      <c r="X43" s="6"/>
      <c r="Y43" s="6"/>
      <c r="Z43" s="6"/>
      <c r="AA43" s="7"/>
      <c r="AB43" s="6"/>
      <c r="AC43" s="6"/>
      <c r="AD43" s="6"/>
      <c r="AE43" s="6"/>
      <c r="AF43" s="6"/>
      <c r="AG43" s="6"/>
      <c r="AH43" s="6"/>
      <c r="AI43" s="6"/>
      <c r="AJ43" s="6"/>
      <c r="AK43" s="8"/>
      <c r="AL43" s="8"/>
      <c r="AM43" s="8"/>
    </row>
    <row r="44" ht="15.75" customHeight="1">
      <c r="A44" s="4"/>
      <c r="B44" s="4"/>
      <c r="C44" s="4"/>
      <c r="D44" s="4" t="s">
        <v>85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6"/>
      <c r="R44" s="6"/>
      <c r="S44" s="6"/>
      <c r="T44" s="6"/>
      <c r="U44" s="6"/>
      <c r="V44" s="6"/>
      <c r="W44" s="6"/>
      <c r="X44" s="6"/>
      <c r="Y44" s="6"/>
      <c r="Z44" s="6"/>
      <c r="AA44" s="7"/>
      <c r="AB44" s="6"/>
      <c r="AC44" s="6"/>
      <c r="AD44" s="6"/>
      <c r="AE44" s="6"/>
      <c r="AF44" s="6"/>
      <c r="AG44" s="6"/>
      <c r="AH44" s="6"/>
      <c r="AI44" s="6"/>
      <c r="AJ44" s="6"/>
      <c r="AK44" s="8"/>
      <c r="AL44" s="8"/>
      <c r="AM44" s="8"/>
    </row>
    <row r="45" ht="15.75" customHeight="1">
      <c r="A45" s="4"/>
      <c r="B45" s="4"/>
      <c r="C45" s="4"/>
      <c r="D45" s="4" t="s">
        <v>86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  <c r="Q45" s="6"/>
      <c r="R45" s="6"/>
      <c r="S45" s="6"/>
      <c r="T45" s="6"/>
      <c r="U45" s="148"/>
      <c r="V45" s="148"/>
      <c r="W45" s="148"/>
      <c r="X45" s="148"/>
      <c r="Y45" s="6"/>
      <c r="Z45" s="6"/>
      <c r="AA45" s="7"/>
      <c r="AB45" s="6"/>
      <c r="AC45" s="6"/>
      <c r="AD45" s="6"/>
      <c r="AE45" s="6"/>
      <c r="AF45" s="6"/>
      <c r="AG45" s="6"/>
      <c r="AH45" s="6"/>
      <c r="AI45" s="6"/>
      <c r="AJ45" s="6"/>
      <c r="AK45" s="8"/>
      <c r="AL45" s="8"/>
      <c r="AM45" s="8"/>
    </row>
    <row r="46" ht="15.75" customHeight="1">
      <c r="A46" s="26"/>
      <c r="B46" s="4"/>
      <c r="C46" s="4"/>
      <c r="D46" s="4" t="s">
        <v>87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  <c r="Q46" s="6"/>
      <c r="R46" s="6"/>
      <c r="S46" s="6"/>
      <c r="T46" s="6"/>
      <c r="U46" s="6"/>
      <c r="V46" s="6"/>
      <c r="W46" s="6"/>
      <c r="X46" s="6"/>
      <c r="Y46" s="153"/>
      <c r="Z46" s="154"/>
      <c r="AA46" s="7"/>
      <c r="AB46" s="6"/>
      <c r="AC46" s="6"/>
      <c r="AD46" s="6"/>
      <c r="AE46" s="6"/>
      <c r="AF46" s="6"/>
      <c r="AG46" s="6"/>
      <c r="AH46" s="6"/>
      <c r="AI46" s="6"/>
      <c r="AJ46" s="6"/>
      <c r="AK46" s="8"/>
      <c r="AL46" s="8"/>
      <c r="AM46" s="8"/>
    </row>
    <row r="47" ht="15.75" customHeight="1">
      <c r="A47" s="4"/>
      <c r="B47" s="4"/>
      <c r="C47" s="4"/>
      <c r="D47" s="4" t="s">
        <v>88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  <c r="Q47" s="6"/>
      <c r="R47" s="6"/>
      <c r="S47" s="6"/>
      <c r="T47" s="6"/>
      <c r="U47" s="6"/>
      <c r="V47" s="6"/>
      <c r="W47" s="6"/>
      <c r="X47" s="6"/>
      <c r="Y47" s="6"/>
      <c r="Z47" s="148"/>
      <c r="AA47" s="7"/>
      <c r="AB47" s="6"/>
      <c r="AC47" s="6"/>
      <c r="AD47" s="6"/>
      <c r="AE47" s="6"/>
      <c r="AF47" s="6"/>
      <c r="AG47" s="6"/>
      <c r="AH47" s="6"/>
      <c r="AI47" s="6"/>
      <c r="AJ47" s="6"/>
      <c r="AK47" s="8"/>
      <c r="AL47" s="8"/>
      <c r="AM47" s="8"/>
    </row>
    <row r="48" ht="15.75" customHeight="1">
      <c r="A48" s="4" t="s">
        <v>89</v>
      </c>
      <c r="B48" s="4"/>
      <c r="C48" s="4" t="s">
        <v>10</v>
      </c>
      <c r="D48" s="4" t="s">
        <v>90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/>
      <c r="Q48" s="6"/>
      <c r="R48" s="6"/>
      <c r="S48" s="6"/>
      <c r="T48" s="6"/>
      <c r="U48" s="6"/>
      <c r="V48" s="6"/>
      <c r="W48" s="6"/>
      <c r="X48" s="6"/>
      <c r="Y48" s="6"/>
      <c r="Z48" s="6"/>
      <c r="AA48" s="7"/>
      <c r="AB48" s="6"/>
      <c r="AC48" s="6"/>
      <c r="AD48" s="6"/>
      <c r="AE48" s="6"/>
      <c r="AF48" s="6"/>
      <c r="AG48" s="6"/>
      <c r="AH48" s="6"/>
      <c r="AI48" s="6"/>
      <c r="AJ48" s="6"/>
      <c r="AK48" s="8"/>
      <c r="AL48" s="8"/>
      <c r="AM48" s="8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  <c r="Q49" s="6"/>
      <c r="R49" s="6"/>
      <c r="S49" s="6"/>
      <c r="T49" s="6"/>
      <c r="U49" s="6"/>
      <c r="V49" s="6"/>
      <c r="W49" s="6"/>
      <c r="X49" s="6"/>
      <c r="Y49" s="6"/>
      <c r="Z49" s="6"/>
      <c r="AA49" s="7"/>
      <c r="AB49" s="6"/>
      <c r="AC49" s="6"/>
      <c r="AD49" s="6"/>
      <c r="AE49" s="6"/>
      <c r="AF49" s="6"/>
      <c r="AG49" s="6"/>
      <c r="AH49" s="6"/>
      <c r="AI49" s="6"/>
      <c r="AJ49" s="6"/>
      <c r="AK49" s="8"/>
      <c r="AL49" s="8"/>
      <c r="AM49" s="8"/>
    </row>
    <row r="50" ht="15.75" customHeight="1">
      <c r="A50" s="4" t="s">
        <v>91</v>
      </c>
      <c r="B50" s="4"/>
      <c r="C50" s="4" t="s">
        <v>10</v>
      </c>
      <c r="D50" s="4" t="s">
        <v>92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  <c r="Q50" s="6"/>
      <c r="R50" s="6"/>
      <c r="S50" s="6"/>
      <c r="T50" s="6"/>
      <c r="U50" s="6"/>
      <c r="V50" s="6"/>
      <c r="W50" s="6"/>
      <c r="X50" s="6"/>
      <c r="Y50" s="6"/>
      <c r="Z50" s="6"/>
      <c r="AA50" s="7"/>
      <c r="AB50" s="6"/>
      <c r="AC50" s="6"/>
      <c r="AD50" s="6"/>
      <c r="AE50" s="6"/>
      <c r="AF50" s="6"/>
      <c r="AG50" s="6"/>
      <c r="AH50" s="6"/>
      <c r="AI50" s="6"/>
      <c r="AJ50" s="6"/>
      <c r="AK50" s="8"/>
      <c r="AL50" s="8"/>
      <c r="AM50" s="8"/>
    </row>
    <row r="51" ht="15.75" customHeight="1">
      <c r="A51" s="4"/>
      <c r="B51" s="4"/>
      <c r="C51" s="4"/>
      <c r="D51" s="4" t="s">
        <v>93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/>
      <c r="Q51" s="6"/>
      <c r="R51" s="6"/>
      <c r="S51" s="6"/>
      <c r="T51" s="6"/>
      <c r="U51" s="6"/>
      <c r="V51" s="6"/>
      <c r="W51" s="6"/>
      <c r="X51" s="6"/>
      <c r="Y51" s="6"/>
      <c r="Z51" s="6"/>
      <c r="AA51" s="7"/>
      <c r="AB51" s="6"/>
      <c r="AC51" s="6"/>
      <c r="AD51" s="6"/>
      <c r="AE51" s="6"/>
      <c r="AF51" s="6"/>
      <c r="AG51" s="6"/>
      <c r="AH51" s="6"/>
      <c r="AI51" s="6"/>
      <c r="AJ51" s="6"/>
      <c r="AK51" s="8"/>
      <c r="AL51" s="8"/>
      <c r="AM51" s="8"/>
    </row>
    <row r="52" ht="15.75" customHeight="1">
      <c r="A52" s="4"/>
      <c r="B52" s="4"/>
      <c r="C52" s="4"/>
      <c r="D52" s="4" t="s">
        <v>94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6"/>
      <c r="AC52" s="6"/>
      <c r="AD52" s="6"/>
      <c r="AE52" s="6"/>
      <c r="AF52" s="6"/>
      <c r="AG52" s="6"/>
      <c r="AH52" s="6"/>
      <c r="AI52" s="6"/>
      <c r="AJ52" s="6"/>
      <c r="AK52" s="8"/>
      <c r="AL52" s="8"/>
      <c r="AM52" s="8"/>
    </row>
    <row r="53" ht="15.75" customHeight="1">
      <c r="A53" s="4"/>
      <c r="B53" s="4"/>
      <c r="C53" s="4"/>
      <c r="D53" s="4" t="s">
        <v>95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  <c r="Q53" s="6"/>
      <c r="R53" s="6"/>
      <c r="S53" s="6"/>
      <c r="T53" s="6"/>
      <c r="U53" s="6"/>
      <c r="V53" s="6"/>
      <c r="W53" s="6"/>
      <c r="X53" s="6"/>
      <c r="Y53" s="6"/>
      <c r="Z53" s="6"/>
      <c r="AA53" s="7"/>
      <c r="AB53" s="6"/>
      <c r="AC53" s="6"/>
      <c r="AD53" s="6"/>
      <c r="AE53" s="6"/>
      <c r="AF53" s="6"/>
      <c r="AG53" s="6"/>
      <c r="AH53" s="6"/>
      <c r="AI53" s="6"/>
      <c r="AJ53" s="6"/>
      <c r="AK53" s="8"/>
      <c r="AL53" s="8"/>
      <c r="AM53" s="8"/>
    </row>
    <row r="54" ht="15.75" customHeight="1">
      <c r="A54" s="4" t="s">
        <v>82</v>
      </c>
      <c r="C54" s="4" t="s">
        <v>10</v>
      </c>
      <c r="D54" s="4" t="s">
        <v>96</v>
      </c>
      <c r="N54" s="4"/>
      <c r="O54" s="4"/>
      <c r="P54" s="5"/>
      <c r="Q54" s="6"/>
      <c r="R54" s="6"/>
      <c r="S54" s="6"/>
      <c r="T54" s="6"/>
      <c r="U54" s="6"/>
      <c r="V54" s="6"/>
      <c r="W54" s="6"/>
      <c r="X54" s="6"/>
      <c r="Y54" s="6"/>
      <c r="Z54" s="6"/>
      <c r="AA54" s="7"/>
      <c r="AB54" s="6"/>
      <c r="AC54" s="6"/>
      <c r="AD54" s="6"/>
      <c r="AE54" s="6"/>
      <c r="AF54" s="6"/>
      <c r="AG54" s="6"/>
      <c r="AH54" s="6"/>
      <c r="AI54" s="6"/>
      <c r="AJ54" s="6"/>
      <c r="AK54" s="8"/>
      <c r="AL54" s="8"/>
      <c r="AM54" s="8"/>
    </row>
    <row r="55" ht="15.75" customHeight="1">
      <c r="C55" s="4"/>
      <c r="D55" s="4" t="s">
        <v>97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  <c r="Q55" s="6"/>
      <c r="R55" s="6"/>
      <c r="S55" s="6"/>
      <c r="T55" s="6"/>
      <c r="U55" s="6"/>
      <c r="V55" s="6"/>
      <c r="W55" s="6"/>
      <c r="X55" s="6"/>
      <c r="Y55" s="6"/>
      <c r="Z55" s="6"/>
      <c r="AA55" s="7"/>
      <c r="AB55" s="6"/>
      <c r="AC55" s="6"/>
      <c r="AD55" s="6"/>
      <c r="AE55" s="6"/>
      <c r="AF55" s="6"/>
      <c r="AG55" s="6"/>
      <c r="AH55" s="6"/>
      <c r="AI55" s="6"/>
      <c r="AJ55" s="6"/>
      <c r="AK55" s="8"/>
      <c r="AL55" s="8"/>
      <c r="AM55" s="8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  <c r="Q56" s="6"/>
      <c r="R56" s="6"/>
      <c r="S56" s="6"/>
      <c r="T56" s="6"/>
      <c r="U56" s="6"/>
      <c r="V56" s="6"/>
      <c r="W56" s="6"/>
      <c r="X56" s="6"/>
      <c r="Y56" s="6"/>
      <c r="Z56" s="6"/>
      <c r="AA56" s="7"/>
      <c r="AB56" s="6"/>
      <c r="AC56" s="6"/>
      <c r="AD56" s="6"/>
      <c r="AE56" s="6"/>
      <c r="AF56" s="6"/>
      <c r="AG56" s="6"/>
      <c r="AH56" s="6"/>
      <c r="AI56" s="6"/>
      <c r="AJ56" s="6"/>
      <c r="AK56" s="8"/>
      <c r="AL56" s="8"/>
      <c r="AM56" s="8"/>
    </row>
    <row r="57" ht="15.75" customHeight="1">
      <c r="A57" s="4" t="s">
        <v>98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8"/>
      <c r="AL57" s="8"/>
      <c r="AM57" s="8"/>
    </row>
    <row r="58" ht="15.75" customHeight="1">
      <c r="A58" s="156"/>
      <c r="B58" s="149"/>
      <c r="C58" s="149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4"/>
      <c r="P58" s="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8"/>
      <c r="AL58" s="8"/>
      <c r="AM58" s="8"/>
      <c r="AN58" s="158"/>
      <c r="AO58" s="158"/>
    </row>
    <row r="59" ht="15.75" customHeight="1">
      <c r="A59" s="156" t="s">
        <v>99</v>
      </c>
      <c r="B59" s="149"/>
      <c r="C59" s="149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4"/>
      <c r="P59" s="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8"/>
      <c r="AL59" s="8"/>
      <c r="AM59" s="8"/>
      <c r="AN59" s="158"/>
      <c r="AO59" s="158"/>
    </row>
    <row r="60" ht="15.75" customHeight="1">
      <c r="A60" s="156" t="s">
        <v>100</v>
      </c>
      <c r="B60" s="149"/>
      <c r="C60" s="149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4"/>
      <c r="P60" s="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8"/>
      <c r="AL60" s="8"/>
      <c r="AM60" s="8"/>
      <c r="AN60" s="158"/>
      <c r="AO60" s="158"/>
    </row>
    <row r="61" ht="15.75" customHeight="1">
      <c r="A61" s="156"/>
      <c r="B61" s="149"/>
      <c r="C61" s="14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4"/>
      <c r="P61" s="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8"/>
      <c r="AL61" s="8"/>
      <c r="AM61" s="8"/>
      <c r="AN61" s="158"/>
      <c r="AO61" s="158"/>
    </row>
    <row r="62" ht="15.75" customHeight="1">
      <c r="A62" s="156"/>
      <c r="B62" s="149"/>
      <c r="C62" s="14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4"/>
      <c r="P62" s="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8"/>
      <c r="AL62" s="8"/>
      <c r="AM62" s="8"/>
      <c r="AN62" s="158"/>
      <c r="AO62" s="158"/>
    </row>
    <row r="63" ht="12.75" customHeight="1">
      <c r="A63" s="156"/>
      <c r="B63" s="149"/>
      <c r="C63" s="14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4"/>
      <c r="P63" s="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8"/>
      <c r="AL63" s="8"/>
      <c r="AM63" s="8"/>
      <c r="AN63" s="158"/>
      <c r="AO63" s="158"/>
    </row>
    <row r="64" ht="12.75" customHeight="1">
      <c r="A64" s="156" t="s">
        <v>101</v>
      </c>
      <c r="B64" s="4"/>
      <c r="C64" s="4"/>
      <c r="D64" s="4"/>
      <c r="E64" s="4"/>
      <c r="F64" s="4"/>
      <c r="G64" s="4"/>
      <c r="H64" s="4"/>
      <c r="I64" s="159"/>
      <c r="J64" s="159"/>
      <c r="K64" s="159"/>
      <c r="L64" s="159"/>
      <c r="M64" s="159"/>
      <c r="N64" s="159"/>
      <c r="O64" s="4"/>
      <c r="P64" s="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8"/>
      <c r="AL64" s="8"/>
      <c r="AM64" s="8"/>
      <c r="AN64" s="158"/>
      <c r="AO64" s="158"/>
    </row>
    <row r="65" ht="12.75" customHeight="1">
      <c r="A65" s="160" t="s">
        <v>102</v>
      </c>
      <c r="B65" s="4"/>
      <c r="C65" s="4"/>
      <c r="D65" s="4"/>
      <c r="E65" s="4"/>
      <c r="F65" s="4"/>
      <c r="G65" s="4"/>
      <c r="H65" s="4"/>
      <c r="I65" s="159"/>
      <c r="J65" s="159"/>
      <c r="K65" s="159"/>
      <c r="L65" s="159"/>
      <c r="M65" s="159"/>
      <c r="N65" s="159"/>
      <c r="O65" s="4"/>
      <c r="P65" s="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8"/>
      <c r="AL65" s="8"/>
      <c r="AM65" s="8"/>
      <c r="AN65" s="158"/>
      <c r="AO65" s="158"/>
    </row>
    <row r="66" ht="12.75" customHeight="1">
      <c r="A66" s="161" t="s">
        <v>103</v>
      </c>
      <c r="B66" s="4"/>
      <c r="C66" s="4"/>
      <c r="D66" s="4"/>
      <c r="E66" s="4"/>
      <c r="F66" s="4"/>
      <c r="G66" s="4"/>
      <c r="H66" s="4"/>
      <c r="I66" s="159"/>
      <c r="J66" s="159"/>
      <c r="K66" s="159"/>
      <c r="L66" s="159"/>
      <c r="M66" s="159"/>
      <c r="N66" s="159"/>
      <c r="O66" s="4"/>
      <c r="P66" s="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8"/>
      <c r="AL66" s="8"/>
      <c r="AM66" s="8"/>
      <c r="AN66" s="158"/>
      <c r="AO66" s="158"/>
    </row>
    <row r="67" ht="12.75" customHeight="1">
      <c r="A67" s="149" t="s">
        <v>104</v>
      </c>
      <c r="B67" s="4" t="s">
        <v>105</v>
      </c>
      <c r="C67" s="4"/>
      <c r="D67" s="4"/>
      <c r="E67" s="4"/>
      <c r="F67" s="4"/>
      <c r="G67" s="4"/>
      <c r="H67" s="4"/>
      <c r="I67" s="159"/>
      <c r="J67" s="159"/>
      <c r="K67" s="159"/>
      <c r="L67" s="159"/>
      <c r="M67" s="159"/>
      <c r="N67" s="159"/>
      <c r="O67" s="4"/>
      <c r="P67" s="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8"/>
      <c r="AL67" s="8"/>
      <c r="AM67" s="8"/>
      <c r="AN67" s="158"/>
      <c r="AO67" s="158"/>
    </row>
    <row r="68" ht="15.75" customHeight="1">
      <c r="A68" s="162" t="s">
        <v>106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10" t="s">
        <v>107</v>
      </c>
      <c r="AA68" s="163"/>
    </row>
    <row r="69" ht="15.75" customHeight="1">
      <c r="AA69" s="163"/>
    </row>
    <row r="70" ht="15.75" customHeight="1">
      <c r="AA70" s="163"/>
    </row>
    <row r="71" ht="15.75" customHeight="1">
      <c r="AA71" s="163"/>
    </row>
    <row r="72" ht="15.75" customHeight="1">
      <c r="AA72" s="163"/>
    </row>
    <row r="73" ht="15.75" customHeight="1">
      <c r="AA73" s="163"/>
    </row>
    <row r="74" ht="14.25" customHeight="1">
      <c r="AA74" s="163"/>
    </row>
    <row r="75" ht="15.75" customHeight="1">
      <c r="AA75" s="163"/>
    </row>
    <row r="76" ht="15.75" customHeight="1">
      <c r="AA76" s="163"/>
    </row>
    <row r="77" ht="15.75" customHeight="1">
      <c r="AA77" s="163"/>
    </row>
    <row r="78" ht="15.75" customHeight="1">
      <c r="AA78" s="163"/>
    </row>
    <row r="79" ht="15.75" customHeight="1">
      <c r="AA79" s="163"/>
    </row>
    <row r="80" ht="15.75" customHeight="1">
      <c r="AA80" s="163"/>
    </row>
    <row r="81" ht="15.75" customHeight="1">
      <c r="AA81" s="163"/>
    </row>
    <row r="82" ht="15.75" customHeight="1">
      <c r="AA82" s="163"/>
    </row>
    <row r="83" ht="15.75" customHeight="1">
      <c r="AA83" s="163"/>
    </row>
    <row r="84" ht="15.75" customHeight="1">
      <c r="AA84" s="163"/>
    </row>
    <row r="85" ht="15.75" customHeight="1">
      <c r="AA85" s="163"/>
    </row>
    <row r="86" ht="15.75" customHeight="1">
      <c r="AA86" s="163"/>
    </row>
    <row r="87" ht="15.75" customHeight="1">
      <c r="AA87" s="163"/>
    </row>
    <row r="88" ht="15.75" customHeight="1">
      <c r="AA88" s="163"/>
    </row>
    <row r="89" ht="15.75" customHeight="1">
      <c r="AA89" s="163"/>
    </row>
    <row r="90" ht="15.75" customHeight="1">
      <c r="AA90" s="163"/>
    </row>
    <row r="91" ht="15.75" customHeight="1">
      <c r="AA91" s="163"/>
    </row>
    <row r="92" ht="15.75" customHeight="1">
      <c r="AA92" s="163"/>
    </row>
    <row r="93" ht="15.75" customHeight="1">
      <c r="AA93" s="163"/>
    </row>
    <row r="94" ht="15.75" customHeight="1">
      <c r="AA94" s="163"/>
    </row>
    <row r="95" ht="15.75" customHeight="1">
      <c r="AA95" s="163"/>
    </row>
    <row r="96" ht="15.75" customHeight="1">
      <c r="AA96" s="163"/>
    </row>
    <row r="97" ht="15.75" customHeight="1">
      <c r="AA97" s="163"/>
    </row>
    <row r="98" ht="15.75" customHeight="1">
      <c r="AA98" s="163"/>
    </row>
    <row r="99" ht="15.75" customHeight="1">
      <c r="AA99" s="163"/>
    </row>
    <row r="100" ht="15.75" customHeight="1">
      <c r="AA100" s="163"/>
    </row>
    <row r="101" ht="15.75" customHeight="1">
      <c r="AA101" s="163"/>
    </row>
    <row r="102" ht="15.75" customHeight="1">
      <c r="AA102" s="163"/>
    </row>
    <row r="103" ht="15.75" customHeight="1">
      <c r="AA103" s="163"/>
    </row>
    <row r="104" ht="15.75" customHeight="1">
      <c r="AA104" s="163"/>
    </row>
    <row r="105" ht="15.75" customHeight="1">
      <c r="AA105" s="163"/>
    </row>
    <row r="106" ht="15.75" customHeight="1">
      <c r="AA106" s="163"/>
    </row>
    <row r="107" ht="15.75" customHeight="1">
      <c r="AA107" s="163"/>
    </row>
    <row r="108" ht="15.75" customHeight="1">
      <c r="AA108" s="163"/>
    </row>
    <row r="109" ht="15.75" customHeight="1">
      <c r="AA109" s="163"/>
    </row>
    <row r="110" ht="15.75" customHeight="1">
      <c r="AA110" s="163"/>
    </row>
    <row r="111" ht="15.75" customHeight="1">
      <c r="AA111" s="163"/>
    </row>
    <row r="112" ht="15.75" customHeight="1">
      <c r="AA112" s="163"/>
    </row>
    <row r="113" ht="15.75" customHeight="1">
      <c r="AA113" s="163"/>
    </row>
    <row r="114" ht="15.75" customHeight="1">
      <c r="AA114" s="163"/>
    </row>
    <row r="115" ht="15.75" customHeight="1">
      <c r="AA115" s="163"/>
    </row>
    <row r="116" ht="15.75" customHeight="1">
      <c r="AA116" s="163"/>
    </row>
    <row r="117" ht="15.75" customHeight="1">
      <c r="AA117" s="163"/>
    </row>
    <row r="118" ht="15.75" customHeight="1">
      <c r="AA118" s="163"/>
    </row>
    <row r="119" ht="15.75" customHeight="1">
      <c r="AA119" s="163"/>
    </row>
    <row r="120" ht="15.75" customHeight="1">
      <c r="AA120" s="163"/>
    </row>
    <row r="121" ht="15.75" customHeight="1">
      <c r="AA121" s="163"/>
    </row>
    <row r="122" ht="15.75" customHeight="1">
      <c r="AA122" s="163"/>
    </row>
    <row r="123" ht="15.75" customHeight="1">
      <c r="AA123" s="163"/>
    </row>
    <row r="124" ht="15.75" customHeight="1">
      <c r="AA124" s="163"/>
    </row>
    <row r="125" ht="15.75" customHeight="1">
      <c r="AA125" s="163"/>
    </row>
    <row r="126" ht="15.75" customHeight="1">
      <c r="AA126" s="163"/>
    </row>
    <row r="127" ht="15.75" customHeight="1">
      <c r="AA127" s="163"/>
    </row>
    <row r="128" ht="15.75" customHeight="1">
      <c r="AA128" s="163"/>
    </row>
    <row r="129" ht="15.75" customHeight="1">
      <c r="AA129" s="163"/>
    </row>
    <row r="130" ht="15.75" customHeight="1">
      <c r="AA130" s="163"/>
    </row>
    <row r="131" ht="15.75" customHeight="1">
      <c r="AA131" s="163"/>
    </row>
    <row r="132" ht="15.75" customHeight="1">
      <c r="AA132" s="163"/>
    </row>
    <row r="133" ht="15.75" customHeight="1">
      <c r="AA133" s="163"/>
    </row>
    <row r="134" ht="15.75" customHeight="1">
      <c r="AA134" s="163"/>
    </row>
    <row r="135" ht="15.75" customHeight="1">
      <c r="AA135" s="163"/>
    </row>
    <row r="136" ht="15.75" customHeight="1">
      <c r="AA136" s="163"/>
    </row>
    <row r="137" ht="15.75" customHeight="1">
      <c r="AA137" s="163"/>
    </row>
    <row r="138" ht="15.75" customHeight="1">
      <c r="AA138" s="163"/>
    </row>
    <row r="139" ht="15.75" customHeight="1">
      <c r="AA139" s="163"/>
    </row>
    <row r="140" ht="15.75" customHeight="1">
      <c r="AA140" s="163"/>
    </row>
    <row r="141" ht="15.75" customHeight="1">
      <c r="AA141" s="163"/>
    </row>
    <row r="142" ht="15.75" customHeight="1">
      <c r="AA142" s="163"/>
    </row>
    <row r="143" ht="15.75" customHeight="1">
      <c r="AA143" s="163"/>
    </row>
    <row r="144" ht="15.75" customHeight="1">
      <c r="AA144" s="163"/>
    </row>
    <row r="145" ht="15.75" customHeight="1">
      <c r="AA145" s="163"/>
    </row>
    <row r="146" ht="15.75" customHeight="1">
      <c r="AA146" s="163"/>
    </row>
    <row r="147" ht="15.75" customHeight="1">
      <c r="AA147" s="163"/>
    </row>
    <row r="148" ht="15.75" customHeight="1">
      <c r="AA148" s="163"/>
    </row>
    <row r="149" ht="15.75" customHeight="1">
      <c r="AA149" s="163"/>
    </row>
    <row r="150" ht="15.75" customHeight="1">
      <c r="AA150" s="163"/>
    </row>
    <row r="151" ht="15.75" customHeight="1">
      <c r="AA151" s="163"/>
    </row>
    <row r="152" ht="15.75" customHeight="1">
      <c r="AA152" s="163"/>
    </row>
    <row r="153" ht="15.75" customHeight="1">
      <c r="AA153" s="163"/>
    </row>
    <row r="154" ht="15.75" customHeight="1">
      <c r="AA154" s="163"/>
    </row>
    <row r="155" ht="15.75" customHeight="1">
      <c r="AA155" s="163"/>
    </row>
    <row r="156" ht="15.75" customHeight="1">
      <c r="AA156" s="163"/>
    </row>
    <row r="157" ht="15.75" customHeight="1">
      <c r="AA157" s="163"/>
    </row>
    <row r="158" ht="15.75" customHeight="1">
      <c r="AA158" s="163"/>
    </row>
    <row r="159" ht="15.75" customHeight="1">
      <c r="AA159" s="163"/>
    </row>
    <row r="160" ht="15.75" customHeight="1">
      <c r="AA160" s="163"/>
    </row>
    <row r="161" ht="15.75" customHeight="1">
      <c r="AA161" s="163"/>
    </row>
    <row r="162" ht="15.75" customHeight="1">
      <c r="AA162" s="163"/>
    </row>
    <row r="163" ht="15.75" customHeight="1">
      <c r="AA163" s="163"/>
    </row>
    <row r="164" ht="15.75" customHeight="1">
      <c r="AA164" s="163"/>
    </row>
    <row r="165" ht="15.75" customHeight="1">
      <c r="AA165" s="163"/>
    </row>
    <row r="166" ht="15.75" customHeight="1">
      <c r="AA166" s="163"/>
    </row>
    <row r="167" ht="15.75" customHeight="1">
      <c r="AA167" s="163"/>
    </row>
    <row r="168" ht="15.75" customHeight="1">
      <c r="AA168" s="163"/>
    </row>
    <row r="169" ht="15.75" customHeight="1">
      <c r="AA169" s="163"/>
    </row>
    <row r="170" ht="15.75" customHeight="1">
      <c r="AA170" s="163"/>
    </row>
    <row r="171" ht="15.75" customHeight="1">
      <c r="AA171" s="163"/>
    </row>
    <row r="172" ht="15.75" customHeight="1">
      <c r="AA172" s="163"/>
    </row>
    <row r="173" ht="15.75" customHeight="1">
      <c r="AA173" s="163"/>
    </row>
    <row r="174" ht="15.75" customHeight="1">
      <c r="AA174" s="163"/>
    </row>
    <row r="175" ht="15.75" customHeight="1">
      <c r="AA175" s="163"/>
    </row>
    <row r="176" ht="15.75" customHeight="1">
      <c r="AA176" s="163"/>
    </row>
    <row r="177" ht="15.75" customHeight="1">
      <c r="AA177" s="163"/>
    </row>
    <row r="178" ht="15.75" customHeight="1">
      <c r="AA178" s="163"/>
    </row>
    <row r="179" ht="15.75" customHeight="1">
      <c r="AA179" s="163"/>
    </row>
    <row r="180" ht="15.75" customHeight="1">
      <c r="AA180" s="163"/>
    </row>
    <row r="181" ht="15.75" customHeight="1">
      <c r="AA181" s="163"/>
    </row>
    <row r="182" ht="15.75" customHeight="1">
      <c r="AA182" s="163"/>
    </row>
    <row r="183" ht="15.75" customHeight="1">
      <c r="AA183" s="163"/>
    </row>
    <row r="184" ht="15.75" customHeight="1">
      <c r="AA184" s="163"/>
    </row>
    <row r="185" ht="15.75" customHeight="1">
      <c r="AA185" s="163"/>
    </row>
    <row r="186" ht="15.75" customHeight="1">
      <c r="AA186" s="163"/>
    </row>
    <row r="187" ht="15.75" customHeight="1">
      <c r="AA187" s="163"/>
    </row>
    <row r="188" ht="15.75" customHeight="1">
      <c r="AA188" s="163"/>
    </row>
    <row r="189" ht="15.75" customHeight="1">
      <c r="AA189" s="163"/>
    </row>
    <row r="190" ht="15.75" customHeight="1">
      <c r="AA190" s="163"/>
    </row>
    <row r="191" ht="15.75" customHeight="1">
      <c r="AA191" s="163"/>
    </row>
    <row r="192" ht="15.75" customHeight="1">
      <c r="AA192" s="163"/>
    </row>
    <row r="193" ht="15.75" customHeight="1">
      <c r="AA193" s="163"/>
    </row>
    <row r="194" ht="15.75" customHeight="1">
      <c r="AA194" s="163"/>
    </row>
    <row r="195" ht="15.75" customHeight="1">
      <c r="AA195" s="163"/>
    </row>
    <row r="196" ht="15.75" customHeight="1">
      <c r="AA196" s="163"/>
    </row>
    <row r="197" ht="15.75" customHeight="1">
      <c r="AA197" s="163"/>
    </row>
    <row r="198" ht="15.75" customHeight="1">
      <c r="AA198" s="163"/>
    </row>
    <row r="199" ht="15.75" customHeight="1">
      <c r="AA199" s="163"/>
    </row>
    <row r="200" ht="15.75" customHeight="1">
      <c r="AA200" s="163"/>
    </row>
    <row r="201" ht="15.75" customHeight="1">
      <c r="AA201" s="163"/>
    </row>
    <row r="202" ht="15.75" customHeight="1">
      <c r="AA202" s="163"/>
    </row>
    <row r="203" ht="15.75" customHeight="1">
      <c r="AA203" s="163"/>
    </row>
    <row r="204" ht="15.75" customHeight="1">
      <c r="AA204" s="163"/>
    </row>
    <row r="205" ht="15.75" customHeight="1">
      <c r="AA205" s="163"/>
    </row>
    <row r="206" ht="15.75" customHeight="1">
      <c r="AA206" s="163"/>
    </row>
    <row r="207" ht="15.75" customHeight="1">
      <c r="AA207" s="163"/>
    </row>
    <row r="208" ht="15.75" customHeight="1">
      <c r="AA208" s="163"/>
    </row>
    <row r="209" ht="15.75" customHeight="1">
      <c r="AA209" s="163"/>
    </row>
    <row r="210" ht="15.75" customHeight="1">
      <c r="AA210" s="163"/>
    </row>
    <row r="211" ht="15.75" customHeight="1">
      <c r="AA211" s="163"/>
    </row>
    <row r="212" ht="15.75" customHeight="1">
      <c r="AA212" s="163"/>
    </row>
    <row r="213" ht="15.75" customHeight="1">
      <c r="AA213" s="163"/>
    </row>
    <row r="214" ht="15.75" customHeight="1">
      <c r="AA214" s="163"/>
    </row>
    <row r="215" ht="15.75" customHeight="1">
      <c r="AA215" s="163"/>
    </row>
    <row r="216" ht="15.75" customHeight="1">
      <c r="AA216" s="163"/>
    </row>
    <row r="217" ht="15.75" customHeight="1">
      <c r="AA217" s="163"/>
    </row>
    <row r="218" ht="15.75" customHeight="1">
      <c r="AA218" s="163"/>
    </row>
    <row r="219" ht="15.75" customHeight="1">
      <c r="AA219" s="163"/>
    </row>
    <row r="220" ht="15.75" customHeight="1">
      <c r="AA220" s="163"/>
    </row>
    <row r="221" ht="15.75" customHeight="1">
      <c r="AA221" s="163"/>
    </row>
    <row r="222" ht="15.75" customHeight="1">
      <c r="AA222" s="163"/>
    </row>
    <row r="223" ht="15.75" customHeight="1">
      <c r="AA223" s="163"/>
    </row>
    <row r="224" ht="15.75" customHeight="1">
      <c r="AA224" s="163"/>
    </row>
    <row r="225" ht="15.75" customHeight="1">
      <c r="AA225" s="163"/>
    </row>
    <row r="226" ht="15.75" customHeight="1">
      <c r="AA226" s="163"/>
    </row>
    <row r="227" ht="15.75" customHeight="1">
      <c r="AA227" s="163"/>
    </row>
    <row r="228" ht="15.75" customHeight="1">
      <c r="AA228" s="163"/>
    </row>
    <row r="229" ht="15.75" customHeight="1">
      <c r="AA229" s="163"/>
    </row>
    <row r="230" ht="15.75" customHeight="1">
      <c r="AA230" s="163"/>
    </row>
    <row r="231" ht="15.75" customHeight="1">
      <c r="AA231" s="163"/>
    </row>
    <row r="232" ht="15.75" customHeight="1">
      <c r="AA232" s="163"/>
    </row>
    <row r="233" ht="15.75" customHeight="1">
      <c r="AA233" s="163"/>
    </row>
    <row r="234" ht="15.75" customHeight="1">
      <c r="AA234" s="163"/>
    </row>
    <row r="235" ht="15.75" customHeight="1">
      <c r="AA235" s="163"/>
    </row>
    <row r="236" ht="15.75" customHeight="1">
      <c r="AA236" s="163"/>
    </row>
    <row r="237" ht="15.75" customHeight="1">
      <c r="AA237" s="163"/>
    </row>
    <row r="238" ht="15.75" customHeight="1">
      <c r="AA238" s="163"/>
    </row>
    <row r="239" ht="15.75" customHeight="1">
      <c r="AA239" s="163"/>
    </row>
    <row r="240" ht="15.75" customHeight="1">
      <c r="AA240" s="163"/>
    </row>
    <row r="241" ht="15.75" customHeight="1">
      <c r="AA241" s="163"/>
    </row>
    <row r="242" ht="15.75" customHeight="1">
      <c r="AA242" s="163"/>
    </row>
    <row r="243" ht="15.75" customHeight="1">
      <c r="AA243" s="163"/>
    </row>
    <row r="244" ht="15.75" customHeight="1">
      <c r="AA244" s="16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M2:N2"/>
    <mergeCell ref="M4:N4"/>
    <mergeCell ref="M5:N5"/>
    <mergeCell ref="A16:N16"/>
    <mergeCell ref="P17:AJ18"/>
    <mergeCell ref="P19:AI19"/>
    <mergeCell ref="K20:L20"/>
    <mergeCell ref="D37:M37"/>
    <mergeCell ref="D38:M38"/>
    <mergeCell ref="A42:B43"/>
    <mergeCell ref="A54:B55"/>
    <mergeCell ref="D54:M54"/>
    <mergeCell ref="M68:N68"/>
    <mergeCell ref="B20:J20"/>
    <mergeCell ref="B27:J27"/>
    <mergeCell ref="B28:H28"/>
    <mergeCell ref="K29:M29"/>
    <mergeCell ref="D30:N30"/>
    <mergeCell ref="D35:N35"/>
    <mergeCell ref="D36:K36"/>
  </mergeCells>
  <printOptions horizontalCentered="1"/>
  <pageMargins bottom="1.0" footer="0.0" header="0.0" left="0.5" right="0.5" top="0.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7.13"/>
    <col customWidth="1" min="3" max="3" width="3.88"/>
    <col customWidth="1" min="4" max="4" width="1.75"/>
    <col customWidth="1" min="5" max="7" width="3.63"/>
    <col customWidth="1" min="8" max="8" width="16.13"/>
    <col customWidth="1" min="9" max="9" width="14.88"/>
    <col customWidth="1" min="10" max="10" width="20.38"/>
    <col customWidth="1" min="11" max="11" width="5.88"/>
    <col customWidth="1" min="12" max="12" width="6.38"/>
    <col customWidth="1" min="13" max="13" width="12.5"/>
    <col customWidth="1" min="14" max="14" width="15.5"/>
    <col customWidth="1" min="15" max="15" width="2.75"/>
    <col customWidth="1" min="16" max="20" width="12.38"/>
    <col customWidth="1" min="21" max="25" width="12.0"/>
    <col customWidth="1" min="26" max="26" width="9.63"/>
    <col customWidth="1" min="27" max="27" width="11.63"/>
    <col customWidth="1" min="28" max="32" width="11.0"/>
    <col customWidth="1" min="33" max="33" width="10.75"/>
    <col customWidth="1" min="34" max="35" width="11.88"/>
    <col customWidth="1" min="36" max="36" width="10.63"/>
    <col customWidth="1" min="37" max="37" width="9.63"/>
    <col customWidth="1" min="38" max="39" width="7.75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7"/>
      <c r="AB1" s="6"/>
      <c r="AC1" s="6"/>
      <c r="AD1" s="6"/>
      <c r="AE1" s="6"/>
      <c r="AF1" s="6"/>
      <c r="AG1" s="6"/>
      <c r="AH1" s="6"/>
      <c r="AI1" s="6"/>
      <c r="AJ1" s="6"/>
      <c r="AK1" s="8"/>
      <c r="AL1" s="8"/>
      <c r="AM1" s="8"/>
    </row>
    <row r="2" ht="12.75" customHeight="1">
      <c r="A2" s="9"/>
      <c r="B2" s="4"/>
      <c r="C2" s="4"/>
      <c r="D2" s="4"/>
      <c r="E2" s="4"/>
      <c r="F2" s="4"/>
      <c r="G2" s="4"/>
      <c r="H2" s="4"/>
      <c r="I2" s="4"/>
      <c r="J2" s="4"/>
      <c r="K2" s="4"/>
      <c r="L2" s="10" t="s">
        <v>0</v>
      </c>
      <c r="M2" s="165">
        <v>46112.0</v>
      </c>
      <c r="N2" s="12"/>
      <c r="O2" s="4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6"/>
      <c r="AC2" s="6"/>
      <c r="AD2" s="6"/>
      <c r="AE2" s="6"/>
      <c r="AF2" s="6"/>
      <c r="AG2" s="6"/>
      <c r="AH2" s="6"/>
      <c r="AI2" s="6"/>
      <c r="AJ2" s="6"/>
      <c r="AK2" s="8"/>
      <c r="AL2" s="8"/>
      <c r="AM2" s="8"/>
    </row>
    <row r="3" ht="12.75" customHeight="1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3"/>
      <c r="O3" s="4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8"/>
      <c r="AL3" s="8"/>
      <c r="AM3" s="8"/>
    </row>
    <row r="4" ht="12.75" customHeight="1">
      <c r="A4" s="15" t="s">
        <v>115</v>
      </c>
      <c r="B4" s="4"/>
      <c r="C4" s="4"/>
      <c r="D4" s="4"/>
      <c r="E4" s="4"/>
      <c r="F4" s="4"/>
      <c r="G4" s="4"/>
      <c r="H4" s="4"/>
      <c r="I4" s="4"/>
      <c r="J4" s="4"/>
      <c r="K4" s="4"/>
      <c r="L4" s="10" t="s">
        <v>2</v>
      </c>
      <c r="M4" s="16" t="s">
        <v>3</v>
      </c>
      <c r="N4" s="12"/>
      <c r="O4" s="4"/>
      <c r="P4" s="5"/>
      <c r="Q4" s="6"/>
      <c r="R4" s="6"/>
      <c r="S4" s="6"/>
      <c r="T4" s="6"/>
      <c r="U4" s="6"/>
      <c r="V4" s="6"/>
      <c r="W4" s="6"/>
      <c r="X4" s="6"/>
      <c r="Y4" s="6"/>
      <c r="Z4" s="6"/>
      <c r="AA4" s="7"/>
      <c r="AB4" s="6"/>
      <c r="AC4" s="6"/>
      <c r="AD4" s="6"/>
      <c r="AE4" s="6"/>
      <c r="AF4" s="6"/>
      <c r="AG4" s="6"/>
      <c r="AH4" s="6"/>
      <c r="AI4" s="6"/>
      <c r="AJ4" s="6"/>
      <c r="AK4" s="8"/>
      <c r="AL4" s="8"/>
      <c r="AM4" s="8"/>
    </row>
    <row r="5" ht="12.75" customHeight="1">
      <c r="A5" s="21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10" t="s">
        <v>6</v>
      </c>
      <c r="M5" s="22"/>
      <c r="N5" s="12"/>
      <c r="O5" s="4"/>
      <c r="P5" s="5"/>
      <c r="Q5" s="6"/>
      <c r="R5" s="6"/>
      <c r="S5" s="6"/>
      <c r="T5" s="6"/>
      <c r="U5" s="6"/>
      <c r="V5" s="6"/>
      <c r="W5" s="6"/>
      <c r="X5" s="6"/>
      <c r="Y5" s="6"/>
      <c r="Z5" s="6"/>
      <c r="AA5" s="7"/>
      <c r="AB5" s="6"/>
      <c r="AC5" s="6"/>
      <c r="AD5" s="6"/>
      <c r="AE5" s="6"/>
      <c r="AF5" s="6"/>
      <c r="AG5" s="6"/>
      <c r="AH5" s="6"/>
      <c r="AI5" s="6"/>
      <c r="AJ5" s="6"/>
      <c r="AK5" s="8"/>
      <c r="AL5" s="8"/>
      <c r="AM5" s="8"/>
    </row>
    <row r="6" ht="12.75" customHeight="1">
      <c r="A6" s="2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3"/>
      <c r="O6" s="4"/>
      <c r="P6" s="5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8"/>
      <c r="AL6" s="8"/>
      <c r="AM6" s="8"/>
    </row>
    <row r="7" ht="13.5" customHeight="1">
      <c r="A7" s="9" t="s">
        <v>9</v>
      </c>
      <c r="B7" s="25"/>
      <c r="C7" s="26" t="s">
        <v>10</v>
      </c>
      <c r="D7" s="27" t="s">
        <v>11</v>
      </c>
      <c r="E7" s="26"/>
      <c r="F7" s="26"/>
      <c r="G7" s="26"/>
      <c r="H7" s="26"/>
      <c r="I7" s="26"/>
      <c r="J7" s="26"/>
      <c r="K7" s="26"/>
      <c r="L7" s="26"/>
      <c r="M7" s="26"/>
      <c r="N7" s="28"/>
      <c r="O7" s="4"/>
      <c r="P7" s="5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8"/>
      <c r="AL7" s="8"/>
      <c r="AM7" s="8"/>
    </row>
    <row r="8" hidden="1">
      <c r="A8" s="9" t="s">
        <v>12</v>
      </c>
      <c r="B8" s="4" t="s">
        <v>13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3"/>
      <c r="O8" s="4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8"/>
      <c r="AL8" s="8"/>
      <c r="AM8" s="8"/>
    </row>
    <row r="9" hidden="1">
      <c r="A9" s="9" t="s">
        <v>14</v>
      </c>
      <c r="B9" s="4" t="s">
        <v>15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3"/>
      <c r="O9" s="4"/>
      <c r="P9" s="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8"/>
      <c r="AL9" s="8"/>
      <c r="AM9" s="8"/>
    </row>
    <row r="10" ht="12.75" customHeight="1">
      <c r="A10" s="9"/>
      <c r="B10" s="4"/>
      <c r="C10" s="4"/>
      <c r="D10" s="4"/>
      <c r="E10" s="4"/>
      <c r="F10" s="4"/>
      <c r="G10" s="4"/>
      <c r="H10" s="4"/>
      <c r="I10" s="4"/>
      <c r="J10" s="32"/>
      <c r="K10" s="4"/>
      <c r="L10" s="4"/>
      <c r="M10" s="4"/>
      <c r="N10" s="13"/>
      <c r="O10" s="4"/>
      <c r="P10" s="5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8"/>
      <c r="AL10" s="8"/>
      <c r="AM10" s="8"/>
    </row>
    <row r="11" ht="12.75" customHeight="1">
      <c r="A11" s="33" t="s">
        <v>16</v>
      </c>
      <c r="B11" s="26"/>
      <c r="C11" s="26" t="s">
        <v>10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4"/>
      <c r="P11" s="5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8"/>
      <c r="AL11" s="8"/>
      <c r="AM11" s="8"/>
    </row>
    <row r="12" ht="12.75" customHeight="1">
      <c r="A12" s="33" t="s">
        <v>17</v>
      </c>
      <c r="B12" s="26"/>
      <c r="C12" s="26" t="s">
        <v>10</v>
      </c>
      <c r="D12" s="34"/>
      <c r="E12" s="4"/>
      <c r="F12" s="4"/>
      <c r="G12" s="4"/>
      <c r="H12" s="4"/>
      <c r="I12" s="4"/>
      <c r="J12" s="4"/>
      <c r="K12" s="4"/>
      <c r="L12" s="4"/>
      <c r="M12" s="4"/>
      <c r="N12" s="13"/>
      <c r="O12" s="4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7"/>
      <c r="AB12" s="6"/>
      <c r="AC12" s="6"/>
      <c r="AD12" s="6"/>
      <c r="AE12" s="6"/>
      <c r="AF12" s="6"/>
      <c r="AG12" s="6"/>
      <c r="AH12" s="6"/>
      <c r="AI12" s="6"/>
      <c r="AJ12" s="6"/>
      <c r="AK12" s="8"/>
      <c r="AL12" s="8"/>
      <c r="AM12" s="8"/>
    </row>
    <row r="13" ht="12.75" customHeight="1">
      <c r="A13" s="33"/>
      <c r="B13" s="26"/>
      <c r="C13" s="26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5"/>
      <c r="O13" s="4"/>
      <c r="P13" s="5"/>
      <c r="Q13" s="6"/>
      <c r="R13" s="6"/>
      <c r="S13" s="6"/>
      <c r="T13" s="6"/>
      <c r="U13" s="6"/>
      <c r="V13" s="6"/>
      <c r="W13" s="6"/>
      <c r="X13" s="6"/>
      <c r="Y13" s="6"/>
      <c r="Z13" s="6"/>
      <c r="AA13" s="7"/>
      <c r="AB13" s="6"/>
      <c r="AC13" s="6"/>
      <c r="AD13" s="6"/>
      <c r="AE13" s="6"/>
      <c r="AF13" s="6"/>
      <c r="AG13" s="6"/>
      <c r="AH13" s="6"/>
      <c r="AI13" s="6"/>
      <c r="AJ13" s="6"/>
      <c r="AK13" s="8"/>
      <c r="AL13" s="8"/>
      <c r="AM13" s="8"/>
    </row>
    <row r="14" ht="12.75" customHeight="1">
      <c r="A14" s="33" t="s">
        <v>18</v>
      </c>
      <c r="B14" s="26"/>
      <c r="C14" s="26" t="s">
        <v>10</v>
      </c>
      <c r="D14" s="36" t="s">
        <v>19</v>
      </c>
      <c r="N14" s="28"/>
      <c r="O14" s="4"/>
      <c r="P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7"/>
      <c r="AB14" s="6"/>
      <c r="AC14" s="6"/>
      <c r="AD14" s="6"/>
      <c r="AE14" s="6"/>
      <c r="AF14" s="6"/>
      <c r="AG14" s="6"/>
      <c r="AH14" s="6"/>
      <c r="AI14" s="6"/>
      <c r="AJ14" s="6"/>
      <c r="AK14" s="8"/>
      <c r="AL14" s="8"/>
      <c r="AM14" s="8"/>
    </row>
    <row r="15" ht="12.75" customHeight="1">
      <c r="A15" s="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3"/>
      <c r="O15" s="4"/>
      <c r="P15" s="37"/>
      <c r="Q15" s="38"/>
      <c r="R15" s="38"/>
      <c r="S15" s="38"/>
      <c r="T15" s="6"/>
      <c r="U15" s="6"/>
      <c r="V15" s="6"/>
      <c r="W15" s="6"/>
      <c r="X15" s="6"/>
      <c r="Y15" s="6"/>
      <c r="Z15" s="6"/>
      <c r="AA15" s="7"/>
      <c r="AB15" s="6"/>
      <c r="AC15" s="6"/>
      <c r="AD15" s="6"/>
      <c r="AE15" s="39" t="s">
        <v>20</v>
      </c>
      <c r="AF15" s="46">
        <v>0.0</v>
      </c>
      <c r="AG15" s="6"/>
      <c r="AH15" s="6"/>
      <c r="AI15" s="6"/>
      <c r="AJ15" s="6"/>
      <c r="AK15" s="8"/>
      <c r="AL15" s="8"/>
      <c r="AM15" s="8"/>
    </row>
    <row r="16">
      <c r="A16" s="41" t="s">
        <v>21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3"/>
      <c r="O16" s="4"/>
      <c r="P16" s="44">
        <v>0.25</v>
      </c>
      <c r="Q16" s="45" t="s">
        <v>22</v>
      </c>
      <c r="R16" s="38"/>
      <c r="S16" s="38"/>
      <c r="T16" s="38"/>
      <c r="U16" s="38"/>
      <c r="V16" s="38"/>
      <c r="W16" s="38"/>
      <c r="X16" s="38"/>
      <c r="Y16" s="38"/>
      <c r="Z16" s="6"/>
      <c r="AA16" s="7"/>
      <c r="AB16" s="6"/>
      <c r="AC16" s="6"/>
      <c r="AD16" s="6"/>
      <c r="AE16" s="39" t="s">
        <v>23</v>
      </c>
      <c r="AF16" s="46">
        <f>0.01*AF15</f>
        <v>0</v>
      </c>
      <c r="AG16" s="38"/>
      <c r="AH16" s="6"/>
      <c r="AI16" s="47" t="s">
        <v>24</v>
      </c>
      <c r="AJ16" s="46"/>
      <c r="AK16" s="8"/>
      <c r="AL16" s="8"/>
      <c r="AM16" s="8"/>
    </row>
    <row r="17" ht="12.75" customHeight="1">
      <c r="A17" s="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3"/>
      <c r="O17" s="4"/>
      <c r="P17" s="48" t="s">
        <v>25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50"/>
      <c r="AK17" s="8"/>
      <c r="AL17" s="8"/>
      <c r="AM17" s="8"/>
    </row>
    <row r="18" ht="12.75" customHeight="1">
      <c r="A18" s="9" t="s">
        <v>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3"/>
      <c r="AK18" s="8"/>
      <c r="AL18" s="8"/>
      <c r="AM18" s="8"/>
    </row>
    <row r="19" ht="7.5" customHeight="1">
      <c r="A19" s="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4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7"/>
      <c r="AJ19" s="8"/>
      <c r="AK19" s="8"/>
      <c r="AL19" s="8"/>
      <c r="AM19" s="8"/>
    </row>
    <row r="20" ht="58.5" customHeight="1">
      <c r="A20" s="58" t="s">
        <v>27</v>
      </c>
      <c r="B20" s="59" t="s">
        <v>28</v>
      </c>
      <c r="C20" s="42"/>
      <c r="D20" s="42"/>
      <c r="E20" s="42"/>
      <c r="F20" s="42"/>
      <c r="G20" s="42"/>
      <c r="H20" s="42"/>
      <c r="I20" s="42"/>
      <c r="J20" s="43"/>
      <c r="K20" s="60" t="s">
        <v>29</v>
      </c>
      <c r="L20" s="43"/>
      <c r="M20" s="58" t="s">
        <v>30</v>
      </c>
      <c r="N20" s="61" t="s">
        <v>31</v>
      </c>
      <c r="O20" s="54"/>
      <c r="P20" s="62" t="s">
        <v>32</v>
      </c>
      <c r="Q20" s="62" t="s">
        <v>33</v>
      </c>
      <c r="R20" s="62" t="s">
        <v>34</v>
      </c>
      <c r="S20" s="62" t="s">
        <v>35</v>
      </c>
      <c r="T20" s="62" t="s">
        <v>36</v>
      </c>
      <c r="U20" s="62" t="s">
        <v>37</v>
      </c>
      <c r="V20" s="62" t="s">
        <v>38</v>
      </c>
      <c r="W20" s="62" t="s">
        <v>39</v>
      </c>
      <c r="X20" s="63" t="s">
        <v>40</v>
      </c>
      <c r="Y20" s="63" t="s">
        <v>41</v>
      </c>
      <c r="Z20" s="63" t="s">
        <v>42</v>
      </c>
      <c r="AA20" s="63" t="s">
        <v>43</v>
      </c>
      <c r="AB20" s="64" t="s">
        <v>44</v>
      </c>
      <c r="AC20" s="65" t="s">
        <v>23</v>
      </c>
      <c r="AD20" s="66" t="s">
        <v>45</v>
      </c>
      <c r="AE20" s="67" t="s">
        <v>46</v>
      </c>
      <c r="AF20" s="67" t="s">
        <v>47</v>
      </c>
      <c r="AG20" s="65" t="s">
        <v>48</v>
      </c>
      <c r="AH20" s="66" t="s">
        <v>49</v>
      </c>
      <c r="AI20" s="67" t="s">
        <v>50</v>
      </c>
      <c r="AJ20" s="67" t="s">
        <v>51</v>
      </c>
      <c r="AK20" s="8"/>
      <c r="AL20" s="8"/>
      <c r="AM20" s="8"/>
    </row>
    <row r="21">
      <c r="A21" s="68"/>
      <c r="B21" s="69"/>
      <c r="C21" s="69"/>
      <c r="D21" s="70"/>
      <c r="E21" s="70"/>
      <c r="F21" s="70"/>
      <c r="G21" s="70"/>
      <c r="H21" s="70"/>
      <c r="I21" s="70"/>
      <c r="J21" s="70"/>
      <c r="K21" s="71"/>
      <c r="L21" s="72"/>
      <c r="M21" s="73"/>
      <c r="N21" s="74"/>
      <c r="O21" s="54"/>
      <c r="P21" s="75"/>
      <c r="Q21" s="75"/>
      <c r="R21" s="75"/>
      <c r="S21" s="75"/>
      <c r="T21" s="75"/>
      <c r="U21" s="75"/>
      <c r="V21" s="75"/>
      <c r="W21" s="75"/>
      <c r="X21" s="76"/>
      <c r="Y21" s="76"/>
      <c r="Z21" s="76"/>
      <c r="AA21" s="77"/>
      <c r="AB21" s="78"/>
      <c r="AC21" s="79"/>
      <c r="AD21" s="79"/>
      <c r="AE21" s="80"/>
      <c r="AF21" s="81"/>
      <c r="AG21" s="79"/>
      <c r="AH21" s="79"/>
      <c r="AI21" s="80"/>
      <c r="AJ21" s="81"/>
      <c r="AK21" s="8"/>
      <c r="AL21" s="8"/>
      <c r="AM21" s="8"/>
    </row>
    <row r="22">
      <c r="A22" s="82">
        <v>1.0</v>
      </c>
      <c r="B22" s="166" t="s">
        <v>110</v>
      </c>
      <c r="C22" s="84"/>
      <c r="D22" s="84"/>
      <c r="E22" s="84"/>
      <c r="F22" s="84"/>
      <c r="G22" s="84"/>
      <c r="H22" s="85"/>
      <c r="I22" s="86"/>
      <c r="J22" s="87"/>
      <c r="K22" s="88">
        <v>30.0</v>
      </c>
      <c r="L22" s="89" t="s">
        <v>53</v>
      </c>
      <c r="M22" s="90">
        <f>ROUNDUP(Z22+AC22+AG22,-2)</f>
        <v>3000</v>
      </c>
      <c r="N22" s="91">
        <f>M22*K22</f>
        <v>90000</v>
      </c>
      <c r="O22" s="54"/>
      <c r="P22" s="92">
        <f>2121.42</f>
        <v>2121.42</v>
      </c>
      <c r="Q22" s="92">
        <f>P22*1.03</f>
        <v>2185.0626</v>
      </c>
      <c r="R22" s="92">
        <f>Q22*1.015</f>
        <v>2217.838539</v>
      </c>
      <c r="S22" s="92">
        <f>R22*K22</f>
        <v>66535.15617</v>
      </c>
      <c r="T22" s="92">
        <f>R22/(1-$P$16)</f>
        <v>2957.118052</v>
      </c>
      <c r="U22" s="92">
        <f>(T22-R22)/1.12*K22</f>
        <v>19802.12981</v>
      </c>
      <c r="V22" s="92">
        <f>R22/(1-$P$16)</f>
        <v>2957.118052</v>
      </c>
      <c r="W22" s="92">
        <f>(V22-R22)/1.12</f>
        <v>660.0709938</v>
      </c>
      <c r="X22" s="93">
        <f>W22*0.12</f>
        <v>79.20851925</v>
      </c>
      <c r="Y22" s="93">
        <f>U22*0.12</f>
        <v>2376.255578</v>
      </c>
      <c r="Z22" s="94">
        <f>R22+W22+X22</f>
        <v>2957.118052</v>
      </c>
      <c r="AA22" s="95">
        <f>S22+U22+Y22</f>
        <v>88713.54156</v>
      </c>
      <c r="AB22" s="96">
        <f>(W22+X22)/Z22</f>
        <v>0.25</v>
      </c>
      <c r="AC22" s="97">
        <f>Z22*$AF$16</f>
        <v>0</v>
      </c>
      <c r="AD22" s="97">
        <f>(AC22)/1.12</f>
        <v>0</v>
      </c>
      <c r="AE22" s="98">
        <f>(AC22/1.12)*0.12</f>
        <v>0</v>
      </c>
      <c r="AF22" s="99">
        <f>AC22*K22</f>
        <v>0</v>
      </c>
      <c r="AG22" s="97">
        <f>(Z22+AC22)*$AJ$16</f>
        <v>0</v>
      </c>
      <c r="AH22" s="97">
        <f>(AG22)/1.12</f>
        <v>0</v>
      </c>
      <c r="AI22" s="98">
        <f>(AG22/1.12)*0.12</f>
        <v>0</v>
      </c>
      <c r="AJ22" s="99">
        <f>AG22*K22</f>
        <v>0</v>
      </c>
      <c r="AK22" s="100"/>
      <c r="AL22" s="8"/>
      <c r="AM22" s="8"/>
      <c r="AN22" s="101"/>
      <c r="AO22" s="101"/>
    </row>
    <row r="23">
      <c r="A23" s="102"/>
      <c r="B23" s="85" t="s">
        <v>54</v>
      </c>
      <c r="C23" s="85"/>
      <c r="D23" s="85"/>
      <c r="E23" s="85"/>
      <c r="F23" s="85"/>
      <c r="G23" s="85"/>
      <c r="H23" s="85"/>
      <c r="I23" s="86"/>
      <c r="J23" s="87"/>
      <c r="K23" s="103"/>
      <c r="L23" s="72"/>
      <c r="M23" s="74"/>
      <c r="N23" s="74"/>
      <c r="O23" s="54"/>
      <c r="P23" s="104"/>
      <c r="Q23" s="105"/>
      <c r="R23" s="105"/>
      <c r="S23" s="105"/>
      <c r="T23" s="105"/>
      <c r="U23" s="106"/>
      <c r="V23" s="105"/>
      <c r="W23" s="106"/>
      <c r="X23" s="107"/>
      <c r="Y23" s="107"/>
      <c r="Z23" s="108"/>
      <c r="AA23" s="109"/>
      <c r="AB23" s="110"/>
      <c r="AC23" s="79"/>
      <c r="AD23" s="79"/>
      <c r="AE23" s="111"/>
      <c r="AF23" s="81"/>
      <c r="AG23" s="79"/>
      <c r="AH23" s="79"/>
      <c r="AI23" s="111"/>
      <c r="AJ23" s="81"/>
      <c r="AK23" s="8"/>
      <c r="AL23" s="8"/>
      <c r="AM23" s="8"/>
      <c r="AN23" s="101"/>
      <c r="AO23" s="101"/>
    </row>
    <row r="24">
      <c r="A24" s="102"/>
      <c r="B24" s="85" t="s">
        <v>55</v>
      </c>
      <c r="C24" s="85"/>
      <c r="D24" s="85"/>
      <c r="E24" s="85"/>
      <c r="F24" s="85"/>
      <c r="G24" s="85"/>
      <c r="H24" s="85"/>
      <c r="I24" s="86"/>
      <c r="J24" s="87"/>
      <c r="K24" s="103"/>
      <c r="L24" s="72"/>
      <c r="M24" s="74"/>
      <c r="N24" s="74"/>
      <c r="O24" s="54"/>
      <c r="P24" s="104"/>
      <c r="Q24" s="105"/>
      <c r="R24" s="105"/>
      <c r="S24" s="105"/>
      <c r="T24" s="105"/>
      <c r="U24" s="106"/>
      <c r="V24" s="105"/>
      <c r="W24" s="106"/>
      <c r="X24" s="107"/>
      <c r="Y24" s="107"/>
      <c r="Z24" s="108"/>
      <c r="AA24" s="109"/>
      <c r="AB24" s="110"/>
      <c r="AC24" s="79"/>
      <c r="AD24" s="79"/>
      <c r="AE24" s="111"/>
      <c r="AF24" s="81"/>
      <c r="AG24" s="79"/>
      <c r="AH24" s="79"/>
      <c r="AI24" s="111"/>
      <c r="AJ24" s="81"/>
      <c r="AK24" s="8"/>
      <c r="AL24" s="8"/>
      <c r="AM24" s="8"/>
      <c r="AN24" s="101"/>
      <c r="AO24" s="101"/>
    </row>
    <row r="25">
      <c r="A25" s="102"/>
      <c r="B25" s="85" t="s">
        <v>56</v>
      </c>
      <c r="C25" s="85"/>
      <c r="D25" s="85"/>
      <c r="E25" s="85"/>
      <c r="F25" s="85"/>
      <c r="G25" s="85"/>
      <c r="H25" s="85"/>
      <c r="I25" s="85"/>
      <c r="J25" s="87"/>
      <c r="K25" s="103"/>
      <c r="L25" s="72"/>
      <c r="M25" s="74"/>
      <c r="N25" s="74"/>
      <c r="O25" s="54"/>
      <c r="P25" s="104"/>
      <c r="Q25" s="105"/>
      <c r="R25" s="105"/>
      <c r="S25" s="105"/>
      <c r="T25" s="105"/>
      <c r="U25" s="106"/>
      <c r="V25" s="105"/>
      <c r="W25" s="106"/>
      <c r="X25" s="107"/>
      <c r="Y25" s="107"/>
      <c r="Z25" s="108"/>
      <c r="AA25" s="109"/>
      <c r="AB25" s="110"/>
      <c r="AC25" s="79"/>
      <c r="AD25" s="79"/>
      <c r="AE25" s="111"/>
      <c r="AF25" s="81"/>
      <c r="AG25" s="79"/>
      <c r="AH25" s="79"/>
      <c r="AI25" s="111"/>
      <c r="AJ25" s="81"/>
      <c r="AK25" s="8"/>
      <c r="AL25" s="8"/>
      <c r="AM25" s="8"/>
      <c r="AN25" s="101"/>
      <c r="AO25" s="101"/>
    </row>
    <row r="26">
      <c r="A26" s="102"/>
      <c r="B26" s="85"/>
      <c r="C26" s="85"/>
      <c r="D26" s="85"/>
      <c r="E26" s="85"/>
      <c r="F26" s="85"/>
      <c r="G26" s="85"/>
      <c r="H26" s="85"/>
      <c r="I26" s="85"/>
      <c r="J26" s="87"/>
      <c r="K26" s="103"/>
      <c r="L26" s="72"/>
      <c r="M26" s="74"/>
      <c r="N26" s="74"/>
      <c r="O26" s="54"/>
      <c r="P26" s="104"/>
      <c r="Q26" s="105"/>
      <c r="R26" s="105"/>
      <c r="S26" s="105"/>
      <c r="T26" s="105"/>
      <c r="U26" s="106"/>
      <c r="V26" s="105"/>
      <c r="W26" s="106"/>
      <c r="X26" s="107"/>
      <c r="Y26" s="107"/>
      <c r="Z26" s="108"/>
      <c r="AA26" s="109"/>
      <c r="AB26" s="110"/>
      <c r="AC26" s="79"/>
      <c r="AD26" s="79"/>
      <c r="AE26" s="111"/>
      <c r="AF26" s="81"/>
      <c r="AG26" s="79"/>
      <c r="AH26" s="79"/>
      <c r="AI26" s="111"/>
      <c r="AJ26" s="81"/>
      <c r="AK26" s="8"/>
      <c r="AL26" s="8"/>
      <c r="AM26" s="8"/>
      <c r="AN26" s="101"/>
      <c r="AO26" s="101"/>
    </row>
    <row r="27" ht="13.5" customHeight="1">
      <c r="A27" s="68"/>
      <c r="B27" s="112" t="s">
        <v>57</v>
      </c>
      <c r="J27" s="12"/>
      <c r="K27" s="113"/>
      <c r="L27" s="114"/>
      <c r="M27" s="115"/>
      <c r="N27" s="116"/>
      <c r="O27" s="54"/>
      <c r="P27" s="117">
        <f>S27-R27-Q27</f>
        <v>63541.07414</v>
      </c>
      <c r="Q27" s="117">
        <f>S27*0.03</f>
        <v>1996.054685</v>
      </c>
      <c r="R27" s="117">
        <f>S27*0.015</f>
        <v>998.0273426</v>
      </c>
      <c r="S27" s="117">
        <f>SUM(S20:S26)</f>
        <v>66535.15617</v>
      </c>
      <c r="T27" s="118"/>
      <c r="U27" s="118">
        <f>SUM(U21:U26)</f>
        <v>19802.12981</v>
      </c>
      <c r="V27" s="118"/>
      <c r="W27" s="118">
        <f>SUM(W21:W26)</f>
        <v>660.0709938</v>
      </c>
      <c r="X27" s="107"/>
      <c r="Y27" s="107"/>
      <c r="Z27" s="119" t="s">
        <v>58</v>
      </c>
      <c r="AA27" s="119">
        <f>SUM(AA21:AA26)</f>
        <v>88713.54156</v>
      </c>
      <c r="AB27" s="120"/>
      <c r="AC27" s="121"/>
      <c r="AD27" s="121"/>
      <c r="AE27" s="121"/>
      <c r="AF27" s="121"/>
      <c r="AG27" s="122" t="s">
        <v>59</v>
      </c>
      <c r="AH27" s="123">
        <f>SUM(AG21:AG26)</f>
        <v>0</v>
      </c>
      <c r="AI27" s="124">
        <f t="shared" ref="AI27:AJ27" si="1">SUM(AI21:AI26)</f>
        <v>0</v>
      </c>
      <c r="AJ27" s="123">
        <f t="shared" si="1"/>
        <v>0</v>
      </c>
      <c r="AK27" s="8"/>
      <c r="AL27" s="8"/>
      <c r="AM27" s="8"/>
    </row>
    <row r="28">
      <c r="A28" s="125"/>
      <c r="B28" s="126"/>
      <c r="C28" s="52"/>
      <c r="D28" s="52"/>
      <c r="E28" s="52"/>
      <c r="F28" s="52"/>
      <c r="G28" s="52"/>
      <c r="H28" s="52"/>
      <c r="I28" s="127"/>
      <c r="J28" s="128"/>
      <c r="K28" s="113"/>
      <c r="L28" s="114"/>
      <c r="M28" s="129"/>
      <c r="N28" s="115"/>
      <c r="O28" s="26"/>
      <c r="P28" s="130" t="s">
        <v>60</v>
      </c>
      <c r="Q28" s="130" t="s">
        <v>61</v>
      </c>
      <c r="R28" s="130" t="s">
        <v>34</v>
      </c>
      <c r="S28" s="130" t="s">
        <v>62</v>
      </c>
      <c r="T28" s="131"/>
      <c r="U28" s="131"/>
      <c r="V28" s="131"/>
      <c r="W28" s="131"/>
      <c r="X28" s="131"/>
      <c r="Y28" s="132"/>
      <c r="Z28" s="132"/>
      <c r="AA28" s="133"/>
      <c r="AB28" s="134"/>
      <c r="AC28" s="134"/>
      <c r="AD28" s="134"/>
      <c r="AE28" s="134"/>
      <c r="AF28" s="134"/>
      <c r="AG28" s="135"/>
      <c r="AH28" s="135"/>
      <c r="AI28" s="136"/>
      <c r="AJ28" s="137"/>
      <c r="AK28" s="138"/>
      <c r="AL28" s="138"/>
      <c r="AM28" s="138"/>
    </row>
    <row r="29">
      <c r="A29" s="139"/>
      <c r="B29" s="140"/>
      <c r="C29" s="140"/>
      <c r="D29" s="140"/>
      <c r="E29" s="140"/>
      <c r="F29" s="140"/>
      <c r="G29" s="140"/>
      <c r="H29" s="140"/>
      <c r="I29" s="140"/>
      <c r="J29" s="140"/>
      <c r="K29" s="141" t="s">
        <v>63</v>
      </c>
      <c r="L29" s="142"/>
      <c r="M29" s="142"/>
      <c r="N29" s="143">
        <f>SUM(N21:N28)</f>
        <v>90000</v>
      </c>
      <c r="O29" s="14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  <c r="AB29" s="6"/>
      <c r="AC29" s="6"/>
      <c r="AD29" s="6"/>
      <c r="AE29" s="6"/>
      <c r="AF29" s="6"/>
      <c r="AG29" s="6"/>
      <c r="AH29" s="6"/>
      <c r="AI29" s="6"/>
      <c r="AJ29" s="6"/>
      <c r="AK29" s="8"/>
      <c r="AL29" s="8"/>
      <c r="AM29" s="8"/>
    </row>
    <row r="30">
      <c r="A30" s="4"/>
      <c r="B30" s="4"/>
      <c r="C30" s="145"/>
      <c r="D30" s="146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"/>
      <c r="P30" s="5"/>
      <c r="Q30" s="6"/>
      <c r="R30" s="6"/>
      <c r="S30" s="6"/>
      <c r="T30" s="6"/>
      <c r="U30" s="6"/>
      <c r="V30" s="6"/>
      <c r="W30" s="6"/>
      <c r="X30" s="6"/>
      <c r="Y30" s="6"/>
      <c r="Z30" s="6"/>
      <c r="AA30" s="7"/>
      <c r="AB30" s="6"/>
      <c r="AC30" s="6"/>
      <c r="AD30" s="6"/>
      <c r="AE30" s="6"/>
      <c r="AF30" s="6"/>
      <c r="AG30" s="6"/>
      <c r="AH30" s="6"/>
      <c r="AI30" s="6"/>
      <c r="AJ30" s="6"/>
      <c r="AK30" s="8"/>
      <c r="AL30" s="8"/>
      <c r="AM30" s="8"/>
    </row>
    <row r="31">
      <c r="A31" s="26" t="s">
        <v>116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  <c r="Q31" s="6"/>
      <c r="R31" s="6"/>
      <c r="S31" s="6"/>
      <c r="T31" s="6"/>
      <c r="U31" s="6"/>
      <c r="V31" s="6"/>
      <c r="W31" s="6"/>
      <c r="X31" s="6"/>
      <c r="Y31" s="6"/>
      <c r="Z31" s="147"/>
      <c r="AA31" s="7"/>
      <c r="AB31" s="6"/>
      <c r="AC31" s="6"/>
      <c r="AD31" s="6"/>
      <c r="AE31" s="6"/>
      <c r="AF31" s="6"/>
      <c r="AG31" s="6"/>
      <c r="AH31" s="6"/>
      <c r="AI31" s="6"/>
      <c r="AJ31" s="6"/>
      <c r="AK31" s="8"/>
      <c r="AL31" s="8"/>
      <c r="AM31" s="8"/>
    </row>
    <row r="32">
      <c r="A32" s="4" t="s">
        <v>65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  <c r="Q32" s="6"/>
      <c r="R32" s="6"/>
      <c r="S32" s="6"/>
      <c r="T32" s="6"/>
      <c r="U32" s="6"/>
      <c r="V32" s="6"/>
      <c r="W32" s="6"/>
      <c r="X32" s="6"/>
      <c r="Y32" s="6"/>
      <c r="Z32" s="148"/>
      <c r="AA32" s="7"/>
      <c r="AB32" s="6"/>
      <c r="AC32" s="6"/>
      <c r="AD32" s="6"/>
      <c r="AE32" s="6"/>
      <c r="AF32" s="6"/>
      <c r="AG32" s="6"/>
      <c r="AH32" s="6"/>
      <c r="AI32" s="6"/>
      <c r="AJ32" s="6"/>
      <c r="AK32" s="8"/>
      <c r="AL32" s="8"/>
      <c r="AM32" s="8"/>
    </row>
    <row r="33">
      <c r="A33" s="4" t="s">
        <v>66</v>
      </c>
      <c r="B33" s="4"/>
      <c r="C33" s="4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4"/>
      <c r="O33" s="4"/>
      <c r="P33" s="5"/>
      <c r="Q33" s="150"/>
      <c r="R33" s="6" t="s">
        <v>67</v>
      </c>
      <c r="S33" s="6">
        <v>1600.0</v>
      </c>
      <c r="T33" s="6"/>
      <c r="U33" s="6"/>
      <c r="V33" s="6"/>
      <c r="W33" s="6"/>
      <c r="X33" s="6"/>
      <c r="Y33" s="6"/>
      <c r="Z33" s="6"/>
      <c r="AA33" s="7"/>
      <c r="AB33" s="6"/>
      <c r="AC33" s="6"/>
      <c r="AD33" s="6"/>
      <c r="AE33" s="6"/>
      <c r="AF33" s="6"/>
      <c r="AG33" s="6"/>
      <c r="AH33" s="6"/>
      <c r="AI33" s="6"/>
      <c r="AJ33" s="6"/>
      <c r="AK33" s="8"/>
      <c r="AL33" s="8"/>
      <c r="AM33" s="8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  <c r="Q34" s="6"/>
      <c r="R34" s="6" t="s">
        <v>69</v>
      </c>
      <c r="S34" s="6">
        <v>1300.0</v>
      </c>
      <c r="T34" s="6"/>
      <c r="U34" s="6"/>
      <c r="V34" s="6"/>
      <c r="W34" s="6"/>
      <c r="X34" s="6"/>
      <c r="Y34" s="6"/>
      <c r="Z34" s="6"/>
      <c r="AA34" s="7"/>
      <c r="AB34" s="6"/>
      <c r="AC34" s="6"/>
      <c r="AD34" s="6"/>
      <c r="AE34" s="6"/>
      <c r="AF34" s="6"/>
      <c r="AG34" s="6"/>
      <c r="AH34" s="6"/>
      <c r="AI34" s="6"/>
      <c r="AJ34" s="6"/>
      <c r="AK34" s="8"/>
      <c r="AL34" s="8"/>
      <c r="AM34" s="8"/>
    </row>
    <row r="35">
      <c r="A35" s="4" t="s">
        <v>70</v>
      </c>
      <c r="B35" s="4"/>
      <c r="C35" s="4"/>
      <c r="D35" s="4" t="s">
        <v>71</v>
      </c>
      <c r="O35" s="4"/>
      <c r="P35" s="5"/>
      <c r="Q35" s="6"/>
      <c r="R35" s="6" t="s">
        <v>72</v>
      </c>
      <c r="S35" s="6">
        <v>300.0</v>
      </c>
      <c r="T35" s="6"/>
      <c r="U35" s="6"/>
      <c r="V35" s="6"/>
      <c r="W35" s="6"/>
      <c r="X35" s="6"/>
      <c r="Y35" s="6"/>
      <c r="Z35" s="6"/>
      <c r="AA35" s="7"/>
      <c r="AB35" s="6"/>
      <c r="AC35" s="6"/>
      <c r="AD35" s="6"/>
      <c r="AE35" s="6"/>
      <c r="AF35" s="6"/>
      <c r="AG35" s="6"/>
      <c r="AH35" s="6"/>
      <c r="AI35" s="6"/>
      <c r="AJ35" s="6"/>
      <c r="AK35" s="8"/>
      <c r="AL35" s="8"/>
      <c r="AM35" s="8"/>
    </row>
    <row r="36">
      <c r="A36" s="4" t="s">
        <v>73</v>
      </c>
      <c r="B36" s="4"/>
      <c r="C36" s="4"/>
      <c r="D36" s="4" t="s">
        <v>74</v>
      </c>
      <c r="L36" s="4"/>
      <c r="M36" s="4"/>
      <c r="N36" s="4"/>
      <c r="O36" s="4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  <c r="AA36" s="7"/>
      <c r="AB36" s="6"/>
      <c r="AC36" s="6"/>
      <c r="AD36" s="6"/>
      <c r="AE36" s="6"/>
      <c r="AF36" s="6"/>
      <c r="AG36" s="6"/>
      <c r="AH36" s="6"/>
      <c r="AI36" s="6"/>
      <c r="AJ36" s="6"/>
      <c r="AK36" s="8"/>
      <c r="AL36" s="8"/>
      <c r="AM36" s="8"/>
    </row>
    <row r="37">
      <c r="A37" s="4" t="s">
        <v>75</v>
      </c>
      <c r="B37" s="4"/>
      <c r="C37" s="4"/>
      <c r="D37" s="4" t="s">
        <v>76</v>
      </c>
      <c r="N37" s="4"/>
      <c r="O37" s="4"/>
      <c r="P37" s="5"/>
      <c r="Q37" s="6"/>
      <c r="R37" s="6"/>
      <c r="S37" s="6"/>
      <c r="T37" s="6"/>
      <c r="U37" s="6"/>
      <c r="V37" s="6"/>
      <c r="W37" s="6"/>
      <c r="X37" s="6"/>
      <c r="Y37" s="6"/>
      <c r="Z37" s="6"/>
      <c r="AA37" s="7"/>
      <c r="AB37" s="6"/>
      <c r="AC37" s="6"/>
      <c r="AD37" s="6"/>
      <c r="AE37" s="6"/>
      <c r="AF37" s="6"/>
      <c r="AG37" s="6"/>
      <c r="AH37" s="6"/>
      <c r="AI37" s="6"/>
      <c r="AJ37" s="6"/>
      <c r="AK37" s="8"/>
      <c r="AL37" s="8"/>
      <c r="AM37" s="8"/>
    </row>
    <row r="38">
      <c r="A38" s="4" t="s">
        <v>77</v>
      </c>
      <c r="B38" s="4"/>
      <c r="C38" s="4"/>
      <c r="D38" s="4" t="s">
        <v>78</v>
      </c>
      <c r="N38" s="4"/>
      <c r="O38" s="4"/>
      <c r="P38" s="5"/>
      <c r="Q38" s="6"/>
      <c r="R38" s="6"/>
      <c r="S38" s="6"/>
      <c r="T38" s="6"/>
      <c r="U38" s="6"/>
      <c r="V38" s="6"/>
      <c r="W38" s="6"/>
      <c r="X38" s="6"/>
      <c r="Y38" s="6"/>
      <c r="Z38" s="6"/>
      <c r="AA38" s="7"/>
      <c r="AB38" s="6"/>
      <c r="AC38" s="6"/>
      <c r="AD38" s="6"/>
      <c r="AE38" s="6"/>
      <c r="AF38" s="6"/>
      <c r="AG38" s="6"/>
      <c r="AH38" s="6"/>
      <c r="AI38" s="6"/>
      <c r="AJ38" s="6"/>
      <c r="AK38" s="8"/>
      <c r="AL38" s="8"/>
      <c r="AM38" s="8"/>
    </row>
    <row r="39">
      <c r="A39" s="4"/>
      <c r="B39" s="4"/>
      <c r="C39" s="4"/>
      <c r="D39" s="4" t="s">
        <v>79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  <c r="Q39" s="6"/>
      <c r="R39" s="6"/>
      <c r="S39" s="6"/>
      <c r="T39" s="6"/>
      <c r="U39" s="6"/>
      <c r="V39" s="6"/>
      <c r="W39" s="6"/>
      <c r="X39" s="6"/>
      <c r="Y39" s="6"/>
      <c r="Z39" s="6"/>
      <c r="AA39" s="7"/>
      <c r="AB39" s="6"/>
      <c r="AC39" s="6"/>
      <c r="AD39" s="6"/>
      <c r="AE39" s="6"/>
      <c r="AF39" s="6"/>
      <c r="AG39" s="6"/>
      <c r="AH39" s="6"/>
      <c r="AI39" s="6"/>
      <c r="AJ39" s="6"/>
      <c r="AK39" s="8"/>
      <c r="AL39" s="8"/>
      <c r="AM39" s="8"/>
    </row>
    <row r="40">
      <c r="A40" s="4"/>
      <c r="B40" s="4"/>
      <c r="C40" s="4"/>
      <c r="D40" s="4" t="s">
        <v>80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  <c r="Q40" s="6"/>
      <c r="R40" s="6"/>
      <c r="S40" s="6"/>
      <c r="T40" s="6"/>
      <c r="U40" s="6"/>
      <c r="V40" s="6"/>
      <c r="W40" s="6"/>
      <c r="X40" s="6"/>
      <c r="Y40" s="6"/>
      <c r="Z40" s="6"/>
      <c r="AA40" s="7"/>
      <c r="AB40" s="6"/>
      <c r="AC40" s="6"/>
      <c r="AD40" s="6"/>
      <c r="AE40" s="6"/>
      <c r="AF40" s="6"/>
      <c r="AG40" s="6"/>
      <c r="AH40" s="6"/>
      <c r="AI40" s="6"/>
      <c r="AJ40" s="6"/>
      <c r="AK40" s="8"/>
      <c r="AL40" s="8"/>
      <c r="AM40" s="8"/>
    </row>
    <row r="41">
      <c r="A41" s="4"/>
      <c r="B41" s="4"/>
      <c r="C41" s="4"/>
      <c r="D41" s="145" t="s">
        <v>81</v>
      </c>
      <c r="E41" s="152"/>
      <c r="F41" s="152"/>
      <c r="G41" s="152"/>
      <c r="H41" s="152"/>
      <c r="I41" s="152"/>
      <c r="J41" s="152"/>
      <c r="K41" s="152"/>
      <c r="L41" s="152"/>
      <c r="M41" s="152"/>
      <c r="N41" s="145"/>
      <c r="O41" s="4"/>
      <c r="P41" s="5"/>
      <c r="Q41" s="6"/>
      <c r="R41" s="6"/>
      <c r="S41" s="6"/>
      <c r="T41" s="6"/>
      <c r="U41" s="6"/>
      <c r="V41" s="6"/>
      <c r="W41" s="6"/>
      <c r="X41" s="6"/>
      <c r="Y41" s="6"/>
      <c r="Z41" s="6"/>
      <c r="AA41" s="7"/>
      <c r="AB41" s="6"/>
      <c r="AC41" s="6"/>
      <c r="AD41" s="6"/>
      <c r="AE41" s="6"/>
      <c r="AF41" s="6"/>
      <c r="AG41" s="6"/>
      <c r="AH41" s="6"/>
      <c r="AI41" s="6"/>
      <c r="AJ41" s="6"/>
      <c r="AK41" s="8"/>
      <c r="AL41" s="8"/>
      <c r="AM41" s="8"/>
    </row>
    <row r="42">
      <c r="A42" s="4" t="s">
        <v>82</v>
      </c>
      <c r="C42" s="4" t="s">
        <v>10</v>
      </c>
      <c r="D42" s="4" t="s">
        <v>83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6"/>
      <c r="R42" s="6"/>
      <c r="S42" s="6"/>
      <c r="T42" s="6"/>
      <c r="U42" s="6"/>
      <c r="V42" s="6"/>
      <c r="W42" s="6"/>
      <c r="X42" s="6"/>
      <c r="Y42" s="6"/>
      <c r="Z42" s="6"/>
      <c r="AA42" s="7"/>
      <c r="AB42" s="6"/>
      <c r="AC42" s="6"/>
      <c r="AD42" s="6"/>
      <c r="AE42" s="6"/>
      <c r="AF42" s="6"/>
      <c r="AG42" s="6"/>
      <c r="AH42" s="6"/>
      <c r="AI42" s="6"/>
      <c r="AJ42" s="6"/>
      <c r="AK42" s="8"/>
      <c r="AL42" s="8"/>
      <c r="AM42" s="8"/>
    </row>
    <row r="43">
      <c r="C43" s="4"/>
      <c r="D43" s="4" t="s">
        <v>84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6"/>
      <c r="R43" s="6"/>
      <c r="S43" s="6"/>
      <c r="T43" s="6"/>
      <c r="U43" s="6"/>
      <c r="V43" s="6"/>
      <c r="W43" s="6"/>
      <c r="X43" s="6"/>
      <c r="Y43" s="6"/>
      <c r="Z43" s="6"/>
      <c r="AA43" s="7"/>
      <c r="AB43" s="6"/>
      <c r="AC43" s="6"/>
      <c r="AD43" s="6"/>
      <c r="AE43" s="6"/>
      <c r="AF43" s="6"/>
      <c r="AG43" s="6"/>
      <c r="AH43" s="6"/>
      <c r="AI43" s="6"/>
      <c r="AJ43" s="6"/>
      <c r="AK43" s="8"/>
      <c r="AL43" s="8"/>
      <c r="AM43" s="8"/>
    </row>
    <row r="44">
      <c r="A44" s="4"/>
      <c r="B44" s="4"/>
      <c r="C44" s="4"/>
      <c r="D44" s="4" t="s">
        <v>85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6"/>
      <c r="R44" s="6"/>
      <c r="S44" s="6"/>
      <c r="T44" s="6"/>
      <c r="U44" s="6"/>
      <c r="V44" s="6"/>
      <c r="W44" s="6"/>
      <c r="X44" s="6"/>
      <c r="Y44" s="6"/>
      <c r="Z44" s="6"/>
      <c r="AA44" s="7"/>
      <c r="AB44" s="6"/>
      <c r="AC44" s="6"/>
      <c r="AD44" s="6"/>
      <c r="AE44" s="6"/>
      <c r="AF44" s="6"/>
      <c r="AG44" s="6"/>
      <c r="AH44" s="6"/>
      <c r="AI44" s="6"/>
      <c r="AJ44" s="6"/>
      <c r="AK44" s="8"/>
      <c r="AL44" s="8"/>
      <c r="AM44" s="8"/>
    </row>
    <row r="45">
      <c r="A45" s="4"/>
      <c r="B45" s="4"/>
      <c r="C45" s="4"/>
      <c r="D45" s="4" t="s">
        <v>86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  <c r="Q45" s="6"/>
      <c r="R45" s="6"/>
      <c r="S45" s="6"/>
      <c r="T45" s="6"/>
      <c r="U45" s="148"/>
      <c r="V45" s="148"/>
      <c r="W45" s="148"/>
      <c r="X45" s="148"/>
      <c r="Y45" s="6"/>
      <c r="Z45" s="6"/>
      <c r="AA45" s="7"/>
      <c r="AB45" s="6"/>
      <c r="AC45" s="6"/>
      <c r="AD45" s="6"/>
      <c r="AE45" s="6"/>
      <c r="AF45" s="6"/>
      <c r="AG45" s="6"/>
      <c r="AH45" s="6"/>
      <c r="AI45" s="6"/>
      <c r="AJ45" s="6"/>
      <c r="AK45" s="8"/>
      <c r="AL45" s="8"/>
      <c r="AM45" s="8"/>
    </row>
    <row r="46">
      <c r="A46" s="26"/>
      <c r="B46" s="4"/>
      <c r="C46" s="4"/>
      <c r="D46" s="4" t="s">
        <v>87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  <c r="Q46" s="6"/>
      <c r="R46" s="6"/>
      <c r="S46" s="6"/>
      <c r="T46" s="6"/>
      <c r="U46" s="6"/>
      <c r="V46" s="6"/>
      <c r="W46" s="6"/>
      <c r="X46" s="6"/>
      <c r="Y46" s="153"/>
      <c r="Z46" s="154"/>
      <c r="AA46" s="7"/>
      <c r="AB46" s="6"/>
      <c r="AC46" s="6"/>
      <c r="AD46" s="6"/>
      <c r="AE46" s="6"/>
      <c r="AF46" s="6"/>
      <c r="AG46" s="6"/>
      <c r="AH46" s="6"/>
      <c r="AI46" s="6"/>
      <c r="AJ46" s="6"/>
      <c r="AK46" s="8"/>
      <c r="AL46" s="8"/>
      <c r="AM46" s="8"/>
    </row>
    <row r="47">
      <c r="A47" s="4"/>
      <c r="B47" s="4"/>
      <c r="C47" s="4"/>
      <c r="D47" s="4" t="s">
        <v>88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  <c r="Q47" s="6"/>
      <c r="R47" s="6"/>
      <c r="S47" s="6"/>
      <c r="T47" s="6"/>
      <c r="U47" s="6"/>
      <c r="V47" s="6"/>
      <c r="W47" s="6"/>
      <c r="X47" s="6"/>
      <c r="Y47" s="6"/>
      <c r="Z47" s="148"/>
      <c r="AA47" s="7"/>
      <c r="AB47" s="6"/>
      <c r="AC47" s="6"/>
      <c r="AD47" s="6"/>
      <c r="AE47" s="6"/>
      <c r="AF47" s="6"/>
      <c r="AG47" s="6"/>
      <c r="AH47" s="6"/>
      <c r="AI47" s="6"/>
      <c r="AJ47" s="6"/>
      <c r="AK47" s="8"/>
      <c r="AL47" s="8"/>
      <c r="AM47" s="8"/>
    </row>
    <row r="48">
      <c r="A48" s="4" t="s">
        <v>89</v>
      </c>
      <c r="B48" s="4"/>
      <c r="C48" s="4" t="s">
        <v>10</v>
      </c>
      <c r="D48" s="4" t="s">
        <v>90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/>
      <c r="Q48" s="6"/>
      <c r="R48" s="6"/>
      <c r="S48" s="6"/>
      <c r="T48" s="6"/>
      <c r="U48" s="6"/>
      <c r="V48" s="6"/>
      <c r="W48" s="6"/>
      <c r="X48" s="6"/>
      <c r="Y48" s="6"/>
      <c r="Z48" s="6"/>
      <c r="AA48" s="7"/>
      <c r="AB48" s="6"/>
      <c r="AC48" s="6"/>
      <c r="AD48" s="6"/>
      <c r="AE48" s="6"/>
      <c r="AF48" s="6"/>
      <c r="AG48" s="6"/>
      <c r="AH48" s="6"/>
      <c r="AI48" s="6"/>
      <c r="AJ48" s="6"/>
      <c r="AK48" s="8"/>
      <c r="AL48" s="8"/>
      <c r="AM48" s="8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  <c r="Q49" s="6"/>
      <c r="R49" s="6"/>
      <c r="S49" s="6"/>
      <c r="T49" s="6"/>
      <c r="U49" s="6"/>
      <c r="V49" s="6"/>
      <c r="W49" s="6"/>
      <c r="X49" s="6"/>
      <c r="Y49" s="6"/>
      <c r="Z49" s="6"/>
      <c r="AA49" s="7"/>
      <c r="AB49" s="6"/>
      <c r="AC49" s="6"/>
      <c r="AD49" s="6"/>
      <c r="AE49" s="6"/>
      <c r="AF49" s="6"/>
      <c r="AG49" s="6"/>
      <c r="AH49" s="6"/>
      <c r="AI49" s="6"/>
      <c r="AJ49" s="6"/>
      <c r="AK49" s="8"/>
      <c r="AL49" s="8"/>
      <c r="AM49" s="8"/>
    </row>
    <row r="50">
      <c r="A50" s="4" t="s">
        <v>91</v>
      </c>
      <c r="B50" s="4"/>
      <c r="C50" s="4" t="s">
        <v>10</v>
      </c>
      <c r="D50" s="4" t="s">
        <v>92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  <c r="Q50" s="6"/>
      <c r="R50" s="6"/>
      <c r="S50" s="6"/>
      <c r="T50" s="6"/>
      <c r="U50" s="6"/>
      <c r="V50" s="6"/>
      <c r="W50" s="6"/>
      <c r="X50" s="6"/>
      <c r="Y50" s="6"/>
      <c r="Z50" s="6"/>
      <c r="AA50" s="7"/>
      <c r="AB50" s="6"/>
      <c r="AC50" s="6"/>
      <c r="AD50" s="6"/>
      <c r="AE50" s="6"/>
      <c r="AF50" s="6"/>
      <c r="AG50" s="6"/>
      <c r="AH50" s="6"/>
      <c r="AI50" s="6"/>
      <c r="AJ50" s="6"/>
      <c r="AK50" s="8"/>
      <c r="AL50" s="8"/>
      <c r="AM50" s="8"/>
    </row>
    <row r="51">
      <c r="A51" s="4"/>
      <c r="B51" s="4"/>
      <c r="C51" s="4"/>
      <c r="D51" s="4" t="s">
        <v>93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/>
      <c r="Q51" s="6"/>
      <c r="R51" s="6"/>
      <c r="S51" s="6"/>
      <c r="T51" s="6"/>
      <c r="U51" s="6"/>
      <c r="V51" s="6"/>
      <c r="W51" s="6"/>
      <c r="X51" s="6"/>
      <c r="Y51" s="6"/>
      <c r="Z51" s="6"/>
      <c r="AA51" s="7"/>
      <c r="AB51" s="6"/>
      <c r="AC51" s="6"/>
      <c r="AD51" s="6"/>
      <c r="AE51" s="6"/>
      <c r="AF51" s="6"/>
      <c r="AG51" s="6"/>
      <c r="AH51" s="6"/>
      <c r="AI51" s="6"/>
      <c r="AJ51" s="6"/>
      <c r="AK51" s="8"/>
      <c r="AL51" s="8"/>
      <c r="AM51" s="8"/>
    </row>
    <row r="52">
      <c r="A52" s="4"/>
      <c r="B52" s="4"/>
      <c r="C52" s="4"/>
      <c r="D52" s="4" t="s">
        <v>94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6"/>
      <c r="AC52" s="6"/>
      <c r="AD52" s="6"/>
      <c r="AE52" s="6"/>
      <c r="AF52" s="6"/>
      <c r="AG52" s="6"/>
      <c r="AH52" s="6"/>
      <c r="AI52" s="6"/>
      <c r="AJ52" s="6"/>
      <c r="AK52" s="8"/>
      <c r="AL52" s="8"/>
      <c r="AM52" s="8"/>
    </row>
    <row r="53">
      <c r="A53" s="4"/>
      <c r="B53" s="4"/>
      <c r="C53" s="4"/>
      <c r="D53" s="4" t="s">
        <v>95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  <c r="Q53" s="6"/>
      <c r="R53" s="6"/>
      <c r="S53" s="6"/>
      <c r="T53" s="6"/>
      <c r="U53" s="6"/>
      <c r="V53" s="6"/>
      <c r="W53" s="6"/>
      <c r="X53" s="6"/>
      <c r="Y53" s="6"/>
      <c r="Z53" s="6"/>
      <c r="AA53" s="7"/>
      <c r="AB53" s="6"/>
      <c r="AC53" s="6"/>
      <c r="AD53" s="6"/>
      <c r="AE53" s="6"/>
      <c r="AF53" s="6"/>
      <c r="AG53" s="6"/>
      <c r="AH53" s="6"/>
      <c r="AI53" s="6"/>
      <c r="AJ53" s="6"/>
      <c r="AK53" s="8"/>
      <c r="AL53" s="8"/>
      <c r="AM53" s="8"/>
    </row>
    <row r="54">
      <c r="A54" s="4" t="s">
        <v>82</v>
      </c>
      <c r="C54" s="4" t="s">
        <v>10</v>
      </c>
      <c r="D54" s="4" t="s">
        <v>96</v>
      </c>
      <c r="N54" s="4"/>
      <c r="O54" s="4"/>
      <c r="P54" s="5"/>
      <c r="Q54" s="6"/>
      <c r="R54" s="6"/>
      <c r="S54" s="6"/>
      <c r="T54" s="6"/>
      <c r="U54" s="6"/>
      <c r="V54" s="6"/>
      <c r="W54" s="6"/>
      <c r="X54" s="6"/>
      <c r="Y54" s="6"/>
      <c r="Z54" s="6"/>
      <c r="AA54" s="7"/>
      <c r="AB54" s="6"/>
      <c r="AC54" s="6"/>
      <c r="AD54" s="6"/>
      <c r="AE54" s="6"/>
      <c r="AF54" s="6"/>
      <c r="AG54" s="6"/>
      <c r="AH54" s="6"/>
      <c r="AI54" s="6"/>
      <c r="AJ54" s="6"/>
      <c r="AK54" s="8"/>
      <c r="AL54" s="8"/>
      <c r="AM54" s="8"/>
    </row>
    <row r="55">
      <c r="C55" s="4"/>
      <c r="D55" s="4" t="s">
        <v>97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  <c r="Q55" s="6"/>
      <c r="R55" s="6"/>
      <c r="S55" s="6"/>
      <c r="T55" s="6"/>
      <c r="U55" s="6"/>
      <c r="V55" s="6"/>
      <c r="W55" s="6"/>
      <c r="X55" s="6"/>
      <c r="Y55" s="6"/>
      <c r="Z55" s="6"/>
      <c r="AA55" s="7"/>
      <c r="AB55" s="6"/>
      <c r="AC55" s="6"/>
      <c r="AD55" s="6"/>
      <c r="AE55" s="6"/>
      <c r="AF55" s="6"/>
      <c r="AG55" s="6"/>
      <c r="AH55" s="6"/>
      <c r="AI55" s="6"/>
      <c r="AJ55" s="6"/>
      <c r="AK55" s="8"/>
      <c r="AL55" s="8"/>
      <c r="AM55" s="8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  <c r="Q56" s="6"/>
      <c r="R56" s="6"/>
      <c r="S56" s="6"/>
      <c r="T56" s="6"/>
      <c r="U56" s="6"/>
      <c r="V56" s="6"/>
      <c r="W56" s="6"/>
      <c r="X56" s="6"/>
      <c r="Y56" s="6"/>
      <c r="Z56" s="6"/>
      <c r="AA56" s="7"/>
      <c r="AB56" s="6"/>
      <c r="AC56" s="6"/>
      <c r="AD56" s="6"/>
      <c r="AE56" s="6"/>
      <c r="AF56" s="6"/>
      <c r="AG56" s="6"/>
      <c r="AH56" s="6"/>
      <c r="AI56" s="6"/>
      <c r="AJ56" s="6"/>
      <c r="AK56" s="8"/>
      <c r="AL56" s="8"/>
      <c r="AM56" s="8"/>
    </row>
    <row r="57">
      <c r="A57" s="4" t="s">
        <v>98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8"/>
      <c r="AL57" s="8"/>
      <c r="AM57" s="8"/>
    </row>
    <row r="58">
      <c r="A58" s="156"/>
      <c r="B58" s="149"/>
      <c r="C58" s="149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4"/>
      <c r="P58" s="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8"/>
      <c r="AL58" s="8"/>
      <c r="AM58" s="8"/>
      <c r="AN58" s="158"/>
      <c r="AO58" s="158"/>
    </row>
    <row r="59">
      <c r="A59" s="156" t="s">
        <v>99</v>
      </c>
      <c r="B59" s="149"/>
      <c r="C59" s="149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4"/>
      <c r="P59" s="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8"/>
      <c r="AL59" s="8"/>
      <c r="AM59" s="8"/>
      <c r="AN59" s="158"/>
      <c r="AO59" s="158"/>
    </row>
    <row r="60">
      <c r="A60" s="156" t="s">
        <v>100</v>
      </c>
      <c r="B60" s="149"/>
      <c r="C60" s="149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4"/>
      <c r="P60" s="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8"/>
      <c r="AL60" s="8"/>
      <c r="AM60" s="8"/>
      <c r="AN60" s="158"/>
      <c r="AO60" s="158"/>
    </row>
    <row r="61">
      <c r="A61" s="156"/>
      <c r="B61" s="149"/>
      <c r="C61" s="14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4"/>
      <c r="P61" s="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8"/>
      <c r="AL61" s="8"/>
      <c r="AM61" s="8"/>
      <c r="AN61" s="158"/>
      <c r="AO61" s="158"/>
    </row>
    <row r="62">
      <c r="A62" s="156"/>
      <c r="B62" s="149"/>
      <c r="C62" s="14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4"/>
      <c r="P62" s="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8"/>
      <c r="AL62" s="8"/>
      <c r="AM62" s="8"/>
      <c r="AN62" s="158"/>
      <c r="AO62" s="158"/>
    </row>
    <row r="63" ht="12.75" customHeight="1">
      <c r="A63" s="156"/>
      <c r="B63" s="149"/>
      <c r="C63" s="14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4"/>
      <c r="P63" s="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8"/>
      <c r="AL63" s="8"/>
      <c r="AM63" s="8"/>
      <c r="AN63" s="158"/>
      <c r="AO63" s="158"/>
    </row>
    <row r="64" ht="12.75" customHeight="1">
      <c r="A64" s="156" t="s">
        <v>101</v>
      </c>
      <c r="B64" s="4"/>
      <c r="C64" s="4"/>
      <c r="D64" s="4"/>
      <c r="E64" s="4"/>
      <c r="F64" s="4"/>
      <c r="G64" s="4"/>
      <c r="H64" s="4"/>
      <c r="I64" s="159"/>
      <c r="J64" s="159"/>
      <c r="K64" s="159"/>
      <c r="L64" s="159"/>
      <c r="M64" s="159"/>
      <c r="N64" s="159"/>
      <c r="O64" s="4"/>
      <c r="P64" s="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8"/>
      <c r="AL64" s="8"/>
      <c r="AM64" s="8"/>
      <c r="AN64" s="158"/>
      <c r="AO64" s="158"/>
    </row>
    <row r="65" ht="12.75" customHeight="1">
      <c r="A65" s="161" t="s">
        <v>117</v>
      </c>
      <c r="B65" s="4"/>
      <c r="C65" s="4"/>
      <c r="D65" s="4"/>
      <c r="E65" s="4"/>
      <c r="F65" s="4"/>
      <c r="G65" s="4"/>
      <c r="H65" s="4"/>
      <c r="I65" s="159"/>
      <c r="J65" s="159"/>
      <c r="K65" s="159"/>
      <c r="L65" s="159"/>
      <c r="M65" s="159"/>
      <c r="N65" s="159"/>
      <c r="O65" s="4"/>
      <c r="P65" s="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8"/>
      <c r="AL65" s="8"/>
      <c r="AM65" s="8"/>
      <c r="AN65" s="158"/>
      <c r="AO65" s="158"/>
    </row>
    <row r="66" ht="12.75" customHeight="1">
      <c r="A66" s="161" t="s">
        <v>103</v>
      </c>
      <c r="B66" s="4"/>
      <c r="C66" s="4"/>
      <c r="D66" s="4"/>
      <c r="E66" s="4"/>
      <c r="F66" s="4"/>
      <c r="G66" s="4"/>
      <c r="H66" s="4"/>
      <c r="I66" s="159"/>
      <c r="J66" s="159"/>
      <c r="K66" s="159"/>
      <c r="L66" s="159"/>
      <c r="M66" s="159"/>
      <c r="N66" s="159"/>
      <c r="O66" s="4"/>
      <c r="P66" s="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8"/>
      <c r="AL66" s="8"/>
      <c r="AM66" s="8"/>
      <c r="AN66" s="158"/>
      <c r="AO66" s="158"/>
    </row>
    <row r="67" ht="12.75" customHeight="1">
      <c r="A67" s="149" t="s">
        <v>104</v>
      </c>
      <c r="B67" s="4" t="s">
        <v>105</v>
      </c>
      <c r="C67" s="4"/>
      <c r="D67" s="4"/>
      <c r="E67" s="4"/>
      <c r="F67" s="4"/>
      <c r="G67" s="4"/>
      <c r="H67" s="4"/>
      <c r="I67" s="159"/>
      <c r="J67" s="159"/>
      <c r="K67" s="159"/>
      <c r="L67" s="159"/>
      <c r="M67" s="159"/>
      <c r="N67" s="159"/>
      <c r="O67" s="4"/>
      <c r="P67" s="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8"/>
      <c r="AL67" s="8"/>
      <c r="AM67" s="8"/>
      <c r="AN67" s="158"/>
      <c r="AO67" s="158"/>
    </row>
    <row r="68" ht="15.75" customHeight="1">
      <c r="A68" s="162" t="s">
        <v>106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10" t="s">
        <v>107</v>
      </c>
      <c r="AA68" s="163"/>
    </row>
    <row r="69" ht="15.75" customHeight="1">
      <c r="AA69" s="163"/>
    </row>
    <row r="70" ht="15.75" customHeight="1">
      <c r="AA70" s="163"/>
    </row>
    <row r="71" ht="15.75" customHeight="1">
      <c r="AA71" s="163"/>
    </row>
    <row r="72" ht="15.75" customHeight="1">
      <c r="AA72" s="163"/>
    </row>
    <row r="73" ht="15.75" customHeight="1">
      <c r="AA73" s="163"/>
    </row>
    <row r="74" ht="14.25" customHeight="1">
      <c r="AA74" s="163"/>
    </row>
    <row r="75" ht="15.75" customHeight="1">
      <c r="AA75" s="163"/>
    </row>
    <row r="76" ht="15.75" customHeight="1">
      <c r="AA76" s="163"/>
    </row>
    <row r="77" ht="15.75" customHeight="1">
      <c r="AA77" s="163"/>
    </row>
    <row r="78" ht="15.75" customHeight="1">
      <c r="AA78" s="163"/>
    </row>
    <row r="79" ht="15.75" customHeight="1">
      <c r="AA79" s="163"/>
    </row>
    <row r="80" ht="15.75" customHeight="1">
      <c r="AA80" s="163"/>
    </row>
    <row r="81" ht="15.75" customHeight="1">
      <c r="AA81" s="163"/>
    </row>
    <row r="82" ht="15.75" customHeight="1">
      <c r="AA82" s="163"/>
    </row>
    <row r="83" ht="15.75" customHeight="1">
      <c r="AA83" s="163"/>
    </row>
    <row r="84" ht="15.75" customHeight="1">
      <c r="AA84" s="163"/>
    </row>
    <row r="85" ht="15.75" customHeight="1">
      <c r="AA85" s="163"/>
    </row>
    <row r="86" ht="15.75" customHeight="1">
      <c r="AA86" s="163"/>
    </row>
    <row r="87" ht="15.75" customHeight="1">
      <c r="AA87" s="163"/>
    </row>
    <row r="88" ht="15.75" customHeight="1">
      <c r="AA88" s="163"/>
    </row>
    <row r="89" ht="15.75" customHeight="1">
      <c r="AA89" s="163"/>
    </row>
    <row r="90" ht="15.75" customHeight="1">
      <c r="AA90" s="163"/>
    </row>
    <row r="91" ht="15.75" customHeight="1">
      <c r="AA91" s="163"/>
    </row>
    <row r="92" ht="15.75" customHeight="1">
      <c r="AA92" s="163"/>
    </row>
    <row r="93" ht="15.75" customHeight="1">
      <c r="AA93" s="163"/>
    </row>
    <row r="94" ht="15.75" customHeight="1">
      <c r="AA94" s="163"/>
    </row>
    <row r="95" ht="15.75" customHeight="1">
      <c r="AA95" s="163"/>
    </row>
    <row r="96" ht="15.75" customHeight="1">
      <c r="AA96" s="163"/>
    </row>
    <row r="97" ht="15.75" customHeight="1">
      <c r="AA97" s="163"/>
    </row>
    <row r="98" ht="15.75" customHeight="1">
      <c r="AA98" s="163"/>
    </row>
    <row r="99" ht="15.75" customHeight="1">
      <c r="AA99" s="163"/>
    </row>
    <row r="100" ht="15.75" customHeight="1">
      <c r="AA100" s="163"/>
    </row>
    <row r="101" ht="15.75" customHeight="1">
      <c r="AA101" s="163"/>
    </row>
    <row r="102" ht="15.75" customHeight="1">
      <c r="AA102" s="163"/>
    </row>
    <row r="103" ht="15.75" customHeight="1">
      <c r="AA103" s="163"/>
    </row>
    <row r="104" ht="15.75" customHeight="1">
      <c r="AA104" s="163"/>
    </row>
    <row r="105" ht="15.75" customHeight="1">
      <c r="AA105" s="163"/>
    </row>
    <row r="106" ht="15.75" customHeight="1">
      <c r="AA106" s="163"/>
    </row>
    <row r="107" ht="15.75" customHeight="1">
      <c r="AA107" s="163"/>
    </row>
    <row r="108" ht="15.75" customHeight="1">
      <c r="AA108" s="163"/>
    </row>
    <row r="109" ht="15.75" customHeight="1">
      <c r="AA109" s="163"/>
    </row>
    <row r="110" ht="15.75" customHeight="1">
      <c r="AA110" s="163"/>
    </row>
    <row r="111" ht="15.75" customHeight="1">
      <c r="AA111" s="163"/>
    </row>
    <row r="112" ht="15.75" customHeight="1">
      <c r="AA112" s="163"/>
    </row>
    <row r="113" ht="15.75" customHeight="1">
      <c r="AA113" s="163"/>
    </row>
    <row r="114" ht="15.75" customHeight="1">
      <c r="AA114" s="163"/>
    </row>
    <row r="115" ht="15.75" customHeight="1">
      <c r="AA115" s="163"/>
    </row>
    <row r="116" ht="15.75" customHeight="1">
      <c r="AA116" s="163"/>
    </row>
    <row r="117" ht="15.75" customHeight="1">
      <c r="AA117" s="163"/>
    </row>
    <row r="118" ht="15.75" customHeight="1">
      <c r="AA118" s="163"/>
    </row>
    <row r="119" ht="15.75" customHeight="1">
      <c r="AA119" s="163"/>
    </row>
    <row r="120" ht="15.75" customHeight="1">
      <c r="AA120" s="163"/>
    </row>
    <row r="121" ht="15.75" customHeight="1">
      <c r="AA121" s="163"/>
    </row>
    <row r="122" ht="15.75" customHeight="1">
      <c r="AA122" s="163"/>
    </row>
    <row r="123" ht="15.75" customHeight="1">
      <c r="AA123" s="163"/>
    </row>
    <row r="124" ht="15.75" customHeight="1">
      <c r="AA124" s="163"/>
    </row>
    <row r="125" ht="15.75" customHeight="1">
      <c r="AA125" s="163"/>
    </row>
    <row r="126" ht="15.75" customHeight="1">
      <c r="AA126" s="163"/>
    </row>
    <row r="127" ht="15.75" customHeight="1">
      <c r="AA127" s="163"/>
    </row>
    <row r="128" ht="15.75" customHeight="1">
      <c r="AA128" s="163"/>
    </row>
    <row r="129" ht="15.75" customHeight="1">
      <c r="AA129" s="163"/>
    </row>
    <row r="130" ht="15.75" customHeight="1">
      <c r="AA130" s="163"/>
    </row>
    <row r="131" ht="15.75" customHeight="1">
      <c r="AA131" s="163"/>
    </row>
    <row r="132" ht="15.75" customHeight="1">
      <c r="AA132" s="163"/>
    </row>
    <row r="133" ht="15.75" customHeight="1">
      <c r="AA133" s="163"/>
    </row>
    <row r="134" ht="15.75" customHeight="1">
      <c r="AA134" s="163"/>
    </row>
    <row r="135" ht="15.75" customHeight="1">
      <c r="AA135" s="163"/>
    </row>
    <row r="136" ht="15.75" customHeight="1">
      <c r="AA136" s="163"/>
    </row>
    <row r="137" ht="15.75" customHeight="1">
      <c r="AA137" s="163"/>
    </row>
    <row r="138" ht="15.75" customHeight="1">
      <c r="AA138" s="163"/>
    </row>
    <row r="139" ht="15.75" customHeight="1">
      <c r="AA139" s="163"/>
    </row>
    <row r="140" ht="15.75" customHeight="1">
      <c r="AA140" s="163"/>
    </row>
    <row r="141" ht="15.75" customHeight="1">
      <c r="AA141" s="163"/>
    </row>
    <row r="142" ht="15.75" customHeight="1">
      <c r="AA142" s="163"/>
    </row>
    <row r="143" ht="15.75" customHeight="1">
      <c r="AA143" s="163"/>
    </row>
    <row r="144" ht="15.75" customHeight="1">
      <c r="AA144" s="163"/>
    </row>
    <row r="145" ht="15.75" customHeight="1">
      <c r="AA145" s="163"/>
    </row>
    <row r="146" ht="15.75" customHeight="1">
      <c r="AA146" s="163"/>
    </row>
    <row r="147" ht="15.75" customHeight="1">
      <c r="AA147" s="163"/>
    </row>
    <row r="148" ht="15.75" customHeight="1">
      <c r="AA148" s="163"/>
    </row>
    <row r="149" ht="15.75" customHeight="1">
      <c r="AA149" s="163"/>
    </row>
    <row r="150" ht="15.75" customHeight="1">
      <c r="AA150" s="163"/>
    </row>
    <row r="151" ht="15.75" customHeight="1">
      <c r="AA151" s="163"/>
    </row>
    <row r="152" ht="15.75" customHeight="1">
      <c r="AA152" s="163"/>
    </row>
    <row r="153" ht="15.75" customHeight="1">
      <c r="AA153" s="163"/>
    </row>
    <row r="154" ht="15.75" customHeight="1">
      <c r="AA154" s="163"/>
    </row>
    <row r="155" ht="15.75" customHeight="1">
      <c r="AA155" s="163"/>
    </row>
    <row r="156" ht="15.75" customHeight="1">
      <c r="AA156" s="163"/>
    </row>
    <row r="157" ht="15.75" customHeight="1">
      <c r="AA157" s="163"/>
    </row>
    <row r="158" ht="15.75" customHeight="1">
      <c r="AA158" s="163"/>
    </row>
    <row r="159" ht="15.75" customHeight="1">
      <c r="AA159" s="163"/>
    </row>
    <row r="160" ht="15.75" customHeight="1">
      <c r="AA160" s="163"/>
    </row>
    <row r="161" ht="15.75" customHeight="1">
      <c r="AA161" s="163"/>
    </row>
    <row r="162" ht="15.75" customHeight="1">
      <c r="AA162" s="163"/>
    </row>
    <row r="163" ht="15.75" customHeight="1">
      <c r="AA163" s="163"/>
    </row>
    <row r="164" ht="15.75" customHeight="1">
      <c r="AA164" s="163"/>
    </row>
    <row r="165" ht="15.75" customHeight="1">
      <c r="AA165" s="163"/>
    </row>
    <row r="166" ht="15.75" customHeight="1">
      <c r="AA166" s="163"/>
    </row>
    <row r="167" ht="15.75" customHeight="1">
      <c r="AA167" s="163"/>
    </row>
    <row r="168" ht="15.75" customHeight="1">
      <c r="AA168" s="163"/>
    </row>
    <row r="169" ht="15.75" customHeight="1">
      <c r="AA169" s="163"/>
    </row>
    <row r="170" ht="15.75" customHeight="1">
      <c r="AA170" s="163"/>
    </row>
    <row r="171" ht="15.75" customHeight="1">
      <c r="AA171" s="163"/>
    </row>
    <row r="172" ht="15.75" customHeight="1">
      <c r="AA172" s="163"/>
    </row>
    <row r="173" ht="15.75" customHeight="1">
      <c r="AA173" s="163"/>
    </row>
    <row r="174" ht="15.75" customHeight="1">
      <c r="AA174" s="163"/>
    </row>
    <row r="175" ht="15.75" customHeight="1">
      <c r="AA175" s="163"/>
    </row>
    <row r="176" ht="15.75" customHeight="1">
      <c r="AA176" s="163"/>
    </row>
    <row r="177" ht="15.75" customHeight="1">
      <c r="AA177" s="163"/>
    </row>
    <row r="178" ht="15.75" customHeight="1">
      <c r="AA178" s="163"/>
    </row>
    <row r="179" ht="15.75" customHeight="1">
      <c r="AA179" s="163"/>
    </row>
    <row r="180" ht="15.75" customHeight="1">
      <c r="AA180" s="163"/>
    </row>
    <row r="181" ht="15.75" customHeight="1">
      <c r="AA181" s="163"/>
    </row>
    <row r="182" ht="15.75" customHeight="1">
      <c r="AA182" s="163"/>
    </row>
    <row r="183" ht="15.75" customHeight="1">
      <c r="AA183" s="163"/>
    </row>
    <row r="184" ht="15.75" customHeight="1">
      <c r="AA184" s="163"/>
    </row>
    <row r="185" ht="15.75" customHeight="1">
      <c r="AA185" s="163"/>
    </row>
    <row r="186" ht="15.75" customHeight="1">
      <c r="AA186" s="163"/>
    </row>
    <row r="187" ht="15.75" customHeight="1">
      <c r="AA187" s="163"/>
    </row>
    <row r="188" ht="15.75" customHeight="1">
      <c r="AA188" s="163"/>
    </row>
    <row r="189" ht="15.75" customHeight="1">
      <c r="AA189" s="163"/>
    </row>
    <row r="190" ht="15.75" customHeight="1">
      <c r="AA190" s="163"/>
    </row>
    <row r="191" ht="15.75" customHeight="1">
      <c r="AA191" s="163"/>
    </row>
    <row r="192" ht="15.75" customHeight="1">
      <c r="AA192" s="163"/>
    </row>
    <row r="193" ht="15.75" customHeight="1">
      <c r="AA193" s="163"/>
    </row>
    <row r="194" ht="15.75" customHeight="1">
      <c r="AA194" s="163"/>
    </row>
    <row r="195" ht="15.75" customHeight="1">
      <c r="AA195" s="163"/>
    </row>
    <row r="196" ht="15.75" customHeight="1">
      <c r="AA196" s="163"/>
    </row>
    <row r="197" ht="15.75" customHeight="1">
      <c r="AA197" s="163"/>
    </row>
    <row r="198" ht="15.75" customHeight="1">
      <c r="AA198" s="163"/>
    </row>
    <row r="199" ht="15.75" customHeight="1">
      <c r="AA199" s="163"/>
    </row>
    <row r="200" ht="15.75" customHeight="1">
      <c r="AA200" s="163"/>
    </row>
    <row r="201" ht="15.75" customHeight="1">
      <c r="AA201" s="163"/>
    </row>
    <row r="202" ht="15.75" customHeight="1">
      <c r="AA202" s="163"/>
    </row>
    <row r="203" ht="15.75" customHeight="1">
      <c r="AA203" s="163"/>
    </row>
    <row r="204" ht="15.75" customHeight="1">
      <c r="AA204" s="163"/>
    </row>
    <row r="205" ht="15.75" customHeight="1">
      <c r="AA205" s="163"/>
    </row>
    <row r="206" ht="15.75" customHeight="1">
      <c r="AA206" s="163"/>
    </row>
    <row r="207" ht="15.75" customHeight="1">
      <c r="AA207" s="163"/>
    </row>
    <row r="208" ht="15.75" customHeight="1">
      <c r="AA208" s="163"/>
    </row>
    <row r="209" ht="15.75" customHeight="1">
      <c r="AA209" s="163"/>
    </row>
    <row r="210" ht="15.75" customHeight="1">
      <c r="AA210" s="163"/>
    </row>
    <row r="211" ht="15.75" customHeight="1">
      <c r="AA211" s="163"/>
    </row>
    <row r="212" ht="15.75" customHeight="1">
      <c r="AA212" s="163"/>
    </row>
    <row r="213" ht="15.75" customHeight="1">
      <c r="AA213" s="163"/>
    </row>
    <row r="214" ht="15.75" customHeight="1">
      <c r="AA214" s="163"/>
    </row>
    <row r="215" ht="15.75" customHeight="1">
      <c r="AA215" s="163"/>
    </row>
    <row r="216" ht="15.75" customHeight="1">
      <c r="AA216" s="163"/>
    </row>
    <row r="217" ht="15.75" customHeight="1">
      <c r="AA217" s="163"/>
    </row>
    <row r="218" ht="15.75" customHeight="1">
      <c r="AA218" s="163"/>
    </row>
    <row r="219" ht="15.75" customHeight="1">
      <c r="AA219" s="163"/>
    </row>
    <row r="220" ht="15.75" customHeight="1">
      <c r="AA220" s="163"/>
    </row>
    <row r="221" ht="15.75" customHeight="1">
      <c r="AA221" s="163"/>
    </row>
    <row r="222" ht="15.75" customHeight="1">
      <c r="AA222" s="163"/>
    </row>
    <row r="223" ht="15.75" customHeight="1">
      <c r="AA223" s="163"/>
    </row>
    <row r="224" ht="15.75" customHeight="1">
      <c r="AA224" s="163"/>
    </row>
    <row r="225" ht="15.75" customHeight="1">
      <c r="AA225" s="163"/>
    </row>
    <row r="226" ht="15.75" customHeight="1">
      <c r="AA226" s="163"/>
    </row>
    <row r="227" ht="15.75" customHeight="1">
      <c r="AA227" s="163"/>
    </row>
    <row r="228" ht="15.75" customHeight="1">
      <c r="AA228" s="163"/>
    </row>
    <row r="229" ht="15.75" customHeight="1">
      <c r="AA229" s="163"/>
    </row>
    <row r="230" ht="15.75" customHeight="1">
      <c r="AA230" s="163"/>
    </row>
    <row r="231" ht="15.75" customHeight="1">
      <c r="AA231" s="163"/>
    </row>
    <row r="232" ht="15.75" customHeight="1">
      <c r="AA232" s="163"/>
    </row>
    <row r="233" ht="15.75" customHeight="1">
      <c r="AA233" s="163"/>
    </row>
    <row r="234" ht="15.75" customHeight="1">
      <c r="AA234" s="163"/>
    </row>
    <row r="235" ht="15.75" customHeight="1">
      <c r="AA235" s="163"/>
    </row>
    <row r="236" ht="15.75" customHeight="1">
      <c r="AA236" s="163"/>
    </row>
    <row r="237" ht="15.75" customHeight="1">
      <c r="AA237" s="163"/>
    </row>
    <row r="238" ht="15.75" customHeight="1">
      <c r="AA238" s="163"/>
    </row>
    <row r="239" ht="15.75" customHeight="1">
      <c r="AA239" s="163"/>
    </row>
    <row r="240" ht="15.75" customHeight="1">
      <c r="AA240" s="163"/>
    </row>
    <row r="241" ht="15.75" customHeight="1">
      <c r="AA241" s="163"/>
    </row>
    <row r="242" ht="15.75" customHeight="1">
      <c r="AA242" s="163"/>
    </row>
    <row r="243" ht="15.75" customHeight="1">
      <c r="AA243" s="163"/>
    </row>
    <row r="244" ht="15.75" customHeight="1">
      <c r="AA244" s="16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</sheetData>
  <mergeCells count="20">
    <mergeCell ref="M2:N2"/>
    <mergeCell ref="M4:N4"/>
    <mergeCell ref="M5:N5"/>
    <mergeCell ref="A16:N16"/>
    <mergeCell ref="P17:AJ18"/>
    <mergeCell ref="P19:AI19"/>
    <mergeCell ref="K20:L20"/>
    <mergeCell ref="D37:M37"/>
    <mergeCell ref="D38:M38"/>
    <mergeCell ref="A42:B43"/>
    <mergeCell ref="A54:B55"/>
    <mergeCell ref="D54:M54"/>
    <mergeCell ref="M68:N68"/>
    <mergeCell ref="B20:J20"/>
    <mergeCell ref="B27:J27"/>
    <mergeCell ref="B28:H28"/>
    <mergeCell ref="K29:M29"/>
    <mergeCell ref="D30:N30"/>
    <mergeCell ref="D35:N35"/>
    <mergeCell ref="D36:K36"/>
  </mergeCells>
  <printOptions horizontalCentered="1"/>
  <pageMargins bottom="1.0" footer="0.0" header="0.0" left="0.5" right="0.5" top="0.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6.38"/>
    <col customWidth="1" min="3" max="3" width="6.63"/>
    <col customWidth="1" min="4" max="4" width="71.13"/>
    <col customWidth="1" min="5" max="5" width="29.13"/>
    <col customWidth="1" min="6" max="6" width="30.88"/>
    <col customWidth="1" min="7" max="7" width="18.75"/>
    <col customWidth="1" min="8" max="8" width="17.75"/>
    <col customWidth="1" min="9" max="9" width="24.63"/>
    <col customWidth="1" min="10" max="10" width="20.25"/>
    <col customWidth="1" min="11" max="11" width="11.0"/>
    <col customWidth="1" min="12" max="13" width="23.38"/>
    <col customWidth="1" hidden="1" min="14" max="14" width="17.25"/>
    <col customWidth="1" min="15" max="15" width="26.88"/>
    <col customWidth="1" min="16" max="16" width="16.5"/>
    <col customWidth="1" min="17" max="17" width="2.38"/>
    <col customWidth="1" min="18" max="19" width="7.75"/>
    <col customWidth="1" min="20" max="20" width="16.75"/>
    <col customWidth="1" min="21" max="21" width="2.25"/>
    <col customWidth="1" min="22" max="22" width="22.13"/>
    <col customWidth="1" min="23" max="23" width="17.25"/>
    <col customWidth="1" min="24" max="24" width="20.88"/>
    <col customWidth="1" min="25" max="26" width="13.88"/>
    <col customWidth="1" min="27" max="27" width="4.88"/>
    <col customWidth="1" min="28" max="28" width="18.88"/>
    <col customWidth="1" min="29" max="29" width="12.0"/>
    <col customWidth="1" min="30" max="32" width="7.75"/>
    <col customWidth="1" min="33" max="33" width="12.25"/>
    <col customWidth="1" min="34" max="34" width="9.75"/>
  </cols>
  <sheetData>
    <row r="1" ht="18.75" customHeight="1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</row>
    <row r="2" ht="18.75" customHeight="1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8">
        <v>0.0</v>
      </c>
      <c r="O2" s="169"/>
      <c r="P2" s="167"/>
      <c r="Q2" s="167"/>
      <c r="R2" s="167"/>
      <c r="S2" s="167"/>
      <c r="T2" s="167"/>
      <c r="U2" s="170"/>
      <c r="V2" s="171" t="s">
        <v>118</v>
      </c>
      <c r="W2" s="172"/>
      <c r="X2" s="173"/>
      <c r="Y2" s="167"/>
      <c r="Z2" s="167"/>
      <c r="AA2" s="167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</row>
    <row r="3" ht="18.75" customHeight="1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74" t="s">
        <v>119</v>
      </c>
      <c r="O3" s="175"/>
      <c r="P3" s="176" t="s">
        <v>120</v>
      </c>
      <c r="Q3" s="167"/>
      <c r="R3" s="167"/>
      <c r="S3" s="167"/>
      <c r="T3" s="177" t="s">
        <v>121</v>
      </c>
      <c r="U3" s="178"/>
      <c r="V3" s="179" t="s">
        <v>122</v>
      </c>
      <c r="W3" s="179" t="s">
        <v>123</v>
      </c>
      <c r="X3" s="179" t="s">
        <v>124</v>
      </c>
      <c r="Y3" s="180" t="s">
        <v>125</v>
      </c>
      <c r="Z3" s="167"/>
      <c r="AA3" s="167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</row>
    <row r="4" ht="18.75" customHeight="1">
      <c r="A4" s="181"/>
      <c r="B4" s="181"/>
      <c r="C4" s="181"/>
      <c r="D4" s="181"/>
      <c r="E4" s="182"/>
      <c r="F4" s="182"/>
      <c r="G4" s="181"/>
      <c r="H4" s="183" t="s">
        <v>126</v>
      </c>
      <c r="I4" s="184"/>
      <c r="J4" s="181"/>
      <c r="K4" s="181"/>
      <c r="L4" s="185" t="s">
        <v>72</v>
      </c>
      <c r="M4" s="185" t="s">
        <v>124</v>
      </c>
      <c r="N4" s="186"/>
      <c r="O4" s="187" t="s">
        <v>127</v>
      </c>
      <c r="P4" s="182"/>
      <c r="Q4" s="188"/>
      <c r="R4" s="181"/>
      <c r="S4" s="181"/>
      <c r="T4" s="189"/>
      <c r="U4" s="190"/>
      <c r="V4" s="191"/>
      <c r="W4" s="191"/>
      <c r="X4" s="191"/>
      <c r="Y4" s="192"/>
      <c r="Z4" s="167"/>
      <c r="AA4" s="167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</row>
    <row r="5" ht="18.75" customHeight="1">
      <c r="A5" s="193">
        <v>1.0</v>
      </c>
      <c r="B5" s="194"/>
      <c r="C5" s="195"/>
      <c r="D5" s="196"/>
      <c r="E5" s="197" t="s">
        <v>128</v>
      </c>
      <c r="F5" s="197" t="s">
        <v>129</v>
      </c>
      <c r="G5" s="198" t="s">
        <v>130</v>
      </c>
      <c r="H5" s="199" t="s">
        <v>131</v>
      </c>
      <c r="I5" s="200">
        <f>SUM(I6:I69)</f>
        <v>0</v>
      </c>
      <c r="J5" s="201"/>
      <c r="K5" s="201"/>
      <c r="L5" s="200"/>
      <c r="M5" s="202">
        <f>I5+L5</f>
        <v>0</v>
      </c>
      <c r="N5" s="202">
        <f>(M5*N2)</f>
        <v>0</v>
      </c>
      <c r="O5" s="202">
        <f>(L5+N5)*0.12</f>
        <v>0</v>
      </c>
      <c r="P5" s="203">
        <f>ROUNDUP(SUM(M5:O5),0)</f>
        <v>0</v>
      </c>
      <c r="Q5" s="204"/>
      <c r="R5" s="205">
        <v>1.0</v>
      </c>
      <c r="S5" s="206" t="s">
        <v>132</v>
      </c>
      <c r="T5" s="207">
        <f>ROUNDUP(P5,0)*R5</f>
        <v>0</v>
      </c>
      <c r="U5" s="204"/>
      <c r="V5" s="208">
        <v>395128.8</v>
      </c>
      <c r="W5" s="208">
        <v>14000.0</v>
      </c>
      <c r="X5" s="208">
        <v>409128.8</v>
      </c>
      <c r="Y5" s="209">
        <v>19920.0</v>
      </c>
      <c r="Z5" s="167"/>
      <c r="AA5" s="167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</row>
    <row r="6" ht="18.75" customHeight="1">
      <c r="A6" s="210"/>
      <c r="B6" s="211" t="s">
        <v>133</v>
      </c>
      <c r="C6" s="212"/>
      <c r="D6" s="212"/>
      <c r="E6" s="212"/>
      <c r="F6" s="212"/>
      <c r="G6" s="213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5"/>
      <c r="Z6" s="167"/>
      <c r="AA6" s="167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</row>
    <row r="7" ht="18.75" customHeight="1">
      <c r="A7" s="216"/>
      <c r="B7" s="216"/>
      <c r="C7" s="217">
        <v>1.0</v>
      </c>
      <c r="D7" s="218" t="s">
        <v>134</v>
      </c>
      <c r="E7" s="219" t="s">
        <v>135</v>
      </c>
      <c r="F7" s="217" t="s">
        <v>136</v>
      </c>
      <c r="G7" s="220"/>
      <c r="H7" s="221">
        <f>(G7*1.12)</f>
        <v>0</v>
      </c>
      <c r="I7" s="222">
        <f>H7*C7</f>
        <v>0</v>
      </c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216"/>
      <c r="U7" s="216"/>
      <c r="V7" s="167"/>
      <c r="W7" s="167"/>
      <c r="X7" s="167"/>
      <c r="Y7" s="167"/>
      <c r="Z7" s="167"/>
      <c r="AA7" s="167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</row>
    <row r="8" ht="18.75" customHeight="1">
      <c r="A8" s="32"/>
      <c r="B8" s="211" t="s">
        <v>137</v>
      </c>
      <c r="C8" s="211"/>
      <c r="D8" s="32"/>
      <c r="E8" s="32"/>
      <c r="F8" s="32"/>
      <c r="G8" s="223"/>
      <c r="H8" s="224"/>
      <c r="I8" s="223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ht="18.75" customHeight="1">
      <c r="A9" s="216"/>
      <c r="B9" s="216"/>
      <c r="C9" s="219">
        <v>1.0</v>
      </c>
      <c r="D9" s="218" t="s">
        <v>134</v>
      </c>
      <c r="E9" s="219" t="s">
        <v>135</v>
      </c>
      <c r="F9" s="217" t="s">
        <v>136</v>
      </c>
      <c r="G9" s="220"/>
      <c r="H9" s="221">
        <f>(G9*1.12)</f>
        <v>0</v>
      </c>
      <c r="I9" s="222">
        <f>H9*C9</f>
        <v>0</v>
      </c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216"/>
      <c r="U9" s="216"/>
      <c r="V9" s="167"/>
      <c r="W9" s="167"/>
      <c r="X9" s="167"/>
      <c r="Y9" s="167"/>
      <c r="Z9" s="167"/>
      <c r="AA9" s="16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</row>
    <row r="10" ht="18.75" customHeight="1">
      <c r="A10" s="216"/>
      <c r="B10" s="216"/>
      <c r="C10" s="217"/>
      <c r="D10" s="225"/>
      <c r="E10" s="219"/>
      <c r="F10" s="217"/>
      <c r="G10" s="220"/>
      <c r="H10" s="226"/>
      <c r="I10" s="22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216"/>
      <c r="U10" s="216"/>
      <c r="V10" s="167"/>
      <c r="W10" s="167"/>
      <c r="X10" s="167"/>
      <c r="Y10" s="167"/>
      <c r="Z10" s="167"/>
      <c r="AA10" s="167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</row>
    <row r="11" ht="18.75" customHeight="1">
      <c r="A11" s="216"/>
      <c r="B11" s="216"/>
      <c r="C11" s="216"/>
      <c r="D11" s="228" t="s">
        <v>138</v>
      </c>
      <c r="E11" s="217"/>
      <c r="F11" s="101"/>
      <c r="G11" s="101"/>
      <c r="H11" s="217"/>
      <c r="I11" s="21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216"/>
      <c r="U11" s="216"/>
      <c r="V11" s="167"/>
      <c r="W11" s="167"/>
      <c r="X11" s="167"/>
      <c r="Y11" s="167"/>
      <c r="Z11" s="167"/>
      <c r="AA11" s="167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</row>
    <row r="12" ht="18.75" customHeight="1">
      <c r="A12" s="216"/>
      <c r="B12" s="229" t="s">
        <v>139</v>
      </c>
      <c r="C12" s="217"/>
      <c r="D12" s="230" t="s">
        <v>140</v>
      </c>
      <c r="E12" s="231" t="s">
        <v>141</v>
      </c>
      <c r="F12" s="231" t="s">
        <v>142</v>
      </c>
      <c r="G12" s="32"/>
      <c r="H12" s="221">
        <v>956.73</v>
      </c>
      <c r="I12" s="222">
        <f t="shared" ref="I12:I17" si="1">H12*C12</f>
        <v>0</v>
      </c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216"/>
      <c r="U12" s="216"/>
      <c r="V12" s="167"/>
      <c r="W12" s="167"/>
      <c r="X12" s="167"/>
      <c r="Y12" s="167"/>
      <c r="Z12" s="167"/>
      <c r="AA12" s="16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</row>
    <row r="13" ht="18.75" customHeight="1">
      <c r="A13" s="216"/>
      <c r="B13" s="229" t="s">
        <v>139</v>
      </c>
      <c r="C13" s="217"/>
      <c r="D13" s="230" t="s">
        <v>143</v>
      </c>
      <c r="E13" s="231" t="s">
        <v>144</v>
      </c>
      <c r="F13" s="231" t="s">
        <v>142</v>
      </c>
      <c r="G13" s="32"/>
      <c r="H13" s="221">
        <v>950.0</v>
      </c>
      <c r="I13" s="222">
        <f t="shared" si="1"/>
        <v>0</v>
      </c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216"/>
      <c r="U13" s="216"/>
      <c r="V13" s="167"/>
      <c r="W13" s="167"/>
      <c r="X13" s="167"/>
      <c r="Y13" s="167"/>
      <c r="Z13" s="167"/>
      <c r="AA13" s="16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</row>
    <row r="14" ht="18.75" customHeight="1">
      <c r="A14" s="216"/>
      <c r="B14" s="229" t="s">
        <v>139</v>
      </c>
      <c r="C14" s="217"/>
      <c r="D14" s="230" t="s">
        <v>145</v>
      </c>
      <c r="E14" s="231" t="s">
        <v>146</v>
      </c>
      <c r="F14" s="231" t="s">
        <v>142</v>
      </c>
      <c r="G14" s="32"/>
      <c r="H14" s="221">
        <v>287.62</v>
      </c>
      <c r="I14" s="222">
        <f t="shared" si="1"/>
        <v>0</v>
      </c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216"/>
      <c r="U14" s="216"/>
      <c r="V14" s="167"/>
      <c r="W14" s="167"/>
      <c r="X14" s="167"/>
      <c r="Y14" s="167"/>
      <c r="Z14" s="167"/>
      <c r="AA14" s="167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</row>
    <row r="15" ht="18.75" customHeight="1">
      <c r="A15" s="216"/>
      <c r="B15" s="229" t="s">
        <v>139</v>
      </c>
      <c r="C15" s="217"/>
      <c r="D15" s="225" t="s">
        <v>147</v>
      </c>
      <c r="E15" s="217" t="s">
        <v>148</v>
      </c>
      <c r="F15" s="217" t="s">
        <v>142</v>
      </c>
      <c r="G15" s="232"/>
      <c r="H15" s="226">
        <v>121.64</v>
      </c>
      <c r="I15" s="227">
        <f t="shared" si="1"/>
        <v>0</v>
      </c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216"/>
      <c r="U15" s="216"/>
      <c r="V15" s="167"/>
      <c r="W15" s="167"/>
      <c r="X15" s="167"/>
      <c r="Y15" s="167"/>
      <c r="Z15" s="167"/>
      <c r="AA15" s="167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</row>
    <row r="16" ht="18.75" customHeight="1">
      <c r="A16" s="216"/>
      <c r="B16" s="229" t="s">
        <v>139</v>
      </c>
      <c r="C16" s="217"/>
      <c r="D16" s="230" t="s">
        <v>149</v>
      </c>
      <c r="E16" s="231" t="s">
        <v>150</v>
      </c>
      <c r="F16" s="231" t="s">
        <v>142</v>
      </c>
      <c r="G16" s="32"/>
      <c r="H16" s="221">
        <v>47.52</v>
      </c>
      <c r="I16" s="222">
        <f t="shared" si="1"/>
        <v>0</v>
      </c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216"/>
      <c r="U16" s="216"/>
      <c r="V16" s="167"/>
      <c r="W16" s="167"/>
      <c r="X16" s="167"/>
      <c r="Y16" s="167"/>
      <c r="Z16" s="167"/>
      <c r="AA16" s="16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</row>
    <row r="17" ht="18.75" customHeight="1">
      <c r="A17" s="216"/>
      <c r="B17" s="229" t="s">
        <v>139</v>
      </c>
      <c r="C17" s="217"/>
      <c r="D17" s="230" t="s">
        <v>151</v>
      </c>
      <c r="E17" s="231" t="s">
        <v>152</v>
      </c>
      <c r="F17" s="231" t="s">
        <v>142</v>
      </c>
      <c r="G17" s="32"/>
      <c r="H17" s="221">
        <v>41.61</v>
      </c>
      <c r="I17" s="222">
        <f t="shared" si="1"/>
        <v>0</v>
      </c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216"/>
      <c r="U17" s="216"/>
      <c r="V17" s="167"/>
      <c r="W17" s="167"/>
      <c r="X17" s="167"/>
      <c r="Y17" s="167"/>
      <c r="Z17" s="167"/>
      <c r="AA17" s="16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</row>
    <row r="18" ht="18.75" customHeight="1">
      <c r="A18" s="216"/>
      <c r="B18" s="233"/>
      <c r="C18" s="216"/>
      <c r="D18" s="228" t="s">
        <v>153</v>
      </c>
      <c r="E18" s="217"/>
      <c r="F18" s="101"/>
      <c r="G18" s="101"/>
      <c r="H18" s="217"/>
      <c r="I18" s="21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216"/>
      <c r="U18" s="216"/>
      <c r="V18" s="167"/>
      <c r="W18" s="167"/>
      <c r="X18" s="167"/>
      <c r="Y18" s="167"/>
      <c r="Z18" s="167"/>
      <c r="AA18" s="16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</row>
    <row r="19" ht="18.75" customHeight="1">
      <c r="A19" s="216"/>
      <c r="B19" s="229" t="s">
        <v>139</v>
      </c>
      <c r="C19" s="217"/>
      <c r="D19" s="230" t="s">
        <v>140</v>
      </c>
      <c r="E19" s="231" t="s">
        <v>141</v>
      </c>
      <c r="F19" s="231" t="s">
        <v>142</v>
      </c>
      <c r="G19" s="32"/>
      <c r="H19" s="221">
        <v>956.73</v>
      </c>
      <c r="I19" s="222">
        <f t="shared" ref="I19:I24" si="2">H19*C19</f>
        <v>0</v>
      </c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216"/>
      <c r="U19" s="216"/>
      <c r="V19" s="167"/>
      <c r="W19" s="167"/>
      <c r="X19" s="167"/>
      <c r="Y19" s="167"/>
      <c r="Z19" s="167"/>
      <c r="AA19" s="167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</row>
    <row r="20" ht="18.75" customHeight="1">
      <c r="A20" s="216"/>
      <c r="B20" s="229" t="s">
        <v>139</v>
      </c>
      <c r="C20" s="217"/>
      <c r="D20" s="230" t="s">
        <v>143</v>
      </c>
      <c r="E20" s="231" t="s">
        <v>144</v>
      </c>
      <c r="F20" s="231" t="s">
        <v>142</v>
      </c>
      <c r="G20" s="32"/>
      <c r="H20" s="221">
        <v>950.0</v>
      </c>
      <c r="I20" s="222">
        <f t="shared" si="2"/>
        <v>0</v>
      </c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216"/>
      <c r="U20" s="216"/>
      <c r="V20" s="167"/>
      <c r="W20" s="167"/>
      <c r="X20" s="167"/>
      <c r="Y20" s="167"/>
      <c r="Z20" s="167"/>
      <c r="AA20" s="167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</row>
    <row r="21" ht="18.75" customHeight="1">
      <c r="A21" s="216"/>
      <c r="B21" s="229" t="s">
        <v>139</v>
      </c>
      <c r="C21" s="217"/>
      <c r="D21" s="230" t="s">
        <v>145</v>
      </c>
      <c r="E21" s="231" t="s">
        <v>146</v>
      </c>
      <c r="F21" s="231" t="s">
        <v>142</v>
      </c>
      <c r="G21" s="32"/>
      <c r="H21" s="221">
        <v>287.62</v>
      </c>
      <c r="I21" s="222">
        <f t="shared" si="2"/>
        <v>0</v>
      </c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216"/>
      <c r="U21" s="216"/>
      <c r="V21" s="167"/>
      <c r="W21" s="167"/>
      <c r="X21" s="167"/>
      <c r="Y21" s="167"/>
      <c r="Z21" s="167"/>
      <c r="AA21" s="167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</row>
    <row r="22" ht="18.75" customHeight="1">
      <c r="A22" s="216"/>
      <c r="B22" s="229" t="s">
        <v>139</v>
      </c>
      <c r="C22" s="217"/>
      <c r="D22" s="225" t="s">
        <v>147</v>
      </c>
      <c r="E22" s="217" t="s">
        <v>148</v>
      </c>
      <c r="F22" s="217" t="s">
        <v>142</v>
      </c>
      <c r="G22" s="232"/>
      <c r="H22" s="226">
        <v>121.64</v>
      </c>
      <c r="I22" s="227">
        <f t="shared" si="2"/>
        <v>0</v>
      </c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216"/>
      <c r="U22" s="216"/>
      <c r="V22" s="167"/>
      <c r="W22" s="167"/>
      <c r="X22" s="167"/>
      <c r="Y22" s="167"/>
      <c r="Z22" s="167"/>
      <c r="AA22" s="167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</row>
    <row r="23" ht="18.75" customHeight="1">
      <c r="A23" s="216"/>
      <c r="B23" s="229" t="s">
        <v>139</v>
      </c>
      <c r="C23" s="217"/>
      <c r="D23" s="230" t="s">
        <v>149</v>
      </c>
      <c r="E23" s="231" t="s">
        <v>150</v>
      </c>
      <c r="F23" s="231" t="s">
        <v>142</v>
      </c>
      <c r="G23" s="32"/>
      <c r="H23" s="221">
        <v>47.52</v>
      </c>
      <c r="I23" s="222">
        <f t="shared" si="2"/>
        <v>0</v>
      </c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216"/>
      <c r="U23" s="216"/>
      <c r="V23" s="167"/>
      <c r="W23" s="167"/>
      <c r="X23" s="167"/>
      <c r="Y23" s="167"/>
      <c r="Z23" s="167"/>
      <c r="AA23" s="167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</row>
    <row r="24" ht="18.75" customHeight="1">
      <c r="A24" s="216"/>
      <c r="B24" s="229" t="s">
        <v>139</v>
      </c>
      <c r="C24" s="217"/>
      <c r="D24" s="230" t="s">
        <v>151</v>
      </c>
      <c r="E24" s="231" t="s">
        <v>152</v>
      </c>
      <c r="F24" s="231" t="s">
        <v>142</v>
      </c>
      <c r="G24" s="32"/>
      <c r="H24" s="221">
        <v>41.61</v>
      </c>
      <c r="I24" s="222">
        <f t="shared" si="2"/>
        <v>0</v>
      </c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216"/>
      <c r="U24" s="216"/>
      <c r="V24" s="167"/>
      <c r="W24" s="167"/>
      <c r="X24" s="167"/>
      <c r="Y24" s="167"/>
      <c r="Z24" s="167"/>
      <c r="AA24" s="167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</row>
    <row r="25" ht="18.75" customHeight="1">
      <c r="A25" s="216"/>
      <c r="B25" s="234"/>
      <c r="C25" s="217"/>
      <c r="D25" s="228" t="s">
        <v>154</v>
      </c>
      <c r="E25" s="217"/>
      <c r="F25" s="217"/>
      <c r="G25" s="232"/>
      <c r="H25" s="226"/>
      <c r="I25" s="22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216"/>
      <c r="U25" s="216"/>
      <c r="V25" s="167"/>
      <c r="W25" s="167"/>
      <c r="X25" s="167"/>
      <c r="Y25" s="167"/>
      <c r="Z25" s="167"/>
      <c r="AA25" s="167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</row>
    <row r="26" ht="18.75" customHeight="1">
      <c r="A26" s="216"/>
      <c r="B26" s="234" t="s">
        <v>139</v>
      </c>
      <c r="C26" s="217"/>
      <c r="D26" s="225" t="s">
        <v>155</v>
      </c>
      <c r="E26" s="231" t="s">
        <v>150</v>
      </c>
      <c r="F26" s="217" t="s">
        <v>142</v>
      </c>
      <c r="G26" s="232"/>
      <c r="H26" s="221">
        <v>47.52</v>
      </c>
      <c r="I26" s="227">
        <f t="shared" ref="I26:I29" si="3">H26*C26</f>
        <v>0</v>
      </c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216"/>
      <c r="U26" s="216"/>
      <c r="V26" s="167"/>
      <c r="W26" s="167"/>
      <c r="X26" s="167"/>
      <c r="Y26" s="167"/>
      <c r="Z26" s="167"/>
      <c r="AA26" s="167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</row>
    <row r="27" ht="18.75" customHeight="1">
      <c r="A27" s="216"/>
      <c r="B27" s="234" t="s">
        <v>139</v>
      </c>
      <c r="C27" s="217"/>
      <c r="D27" s="225" t="s">
        <v>156</v>
      </c>
      <c r="E27" s="231" t="s">
        <v>152</v>
      </c>
      <c r="F27" s="217" t="s">
        <v>142</v>
      </c>
      <c r="G27" s="232"/>
      <c r="H27" s="221">
        <v>41.61</v>
      </c>
      <c r="I27" s="227">
        <f t="shared" si="3"/>
        <v>0</v>
      </c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216"/>
      <c r="U27" s="216"/>
      <c r="V27" s="167"/>
      <c r="W27" s="167"/>
      <c r="X27" s="167"/>
      <c r="Y27" s="167"/>
      <c r="Z27" s="167"/>
      <c r="AA27" s="167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</row>
    <row r="28" ht="18.75" customHeight="1">
      <c r="A28" s="216"/>
      <c r="B28" s="234" t="s">
        <v>139</v>
      </c>
      <c r="C28" s="217"/>
      <c r="D28" s="225" t="s">
        <v>157</v>
      </c>
      <c r="E28" s="231" t="s">
        <v>158</v>
      </c>
      <c r="F28" s="217" t="s">
        <v>142</v>
      </c>
      <c r="G28" s="232"/>
      <c r="H28" s="221">
        <v>21.17</v>
      </c>
      <c r="I28" s="227">
        <f t="shared" si="3"/>
        <v>0</v>
      </c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216"/>
      <c r="U28" s="216"/>
      <c r="V28" s="167"/>
      <c r="W28" s="167"/>
      <c r="X28" s="167"/>
      <c r="Y28" s="167"/>
      <c r="Z28" s="167"/>
      <c r="AA28" s="167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</row>
    <row r="29" ht="18.75" customHeight="1">
      <c r="A29" s="216"/>
      <c r="B29" s="234" t="s">
        <v>139</v>
      </c>
      <c r="C29" s="217"/>
      <c r="D29" s="230" t="s">
        <v>159</v>
      </c>
      <c r="E29" s="231" t="s">
        <v>160</v>
      </c>
      <c r="F29" s="231"/>
      <c r="G29" s="232"/>
      <c r="H29" s="221">
        <v>8.0</v>
      </c>
      <c r="I29" s="227">
        <f t="shared" si="3"/>
        <v>0</v>
      </c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216"/>
      <c r="U29" s="216"/>
      <c r="V29" s="167"/>
      <c r="W29" s="167"/>
      <c r="X29" s="167"/>
      <c r="Y29" s="167"/>
      <c r="Z29" s="167"/>
      <c r="AA29" s="167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</row>
    <row r="30" ht="18.75" customHeight="1">
      <c r="A30" s="235"/>
      <c r="B30" s="235"/>
      <c r="C30" s="236"/>
      <c r="D30" s="237"/>
      <c r="E30" s="236"/>
      <c r="F30" s="236"/>
      <c r="G30" s="232"/>
      <c r="H30" s="238"/>
      <c r="I30" s="238"/>
      <c r="J30" s="238"/>
      <c r="K30" s="239"/>
      <c r="L30" s="167"/>
      <c r="M30" s="167"/>
      <c r="N30" s="167"/>
      <c r="O30" s="167"/>
      <c r="P30" s="167"/>
      <c r="Q30" s="167"/>
      <c r="R30" s="167"/>
      <c r="S30" s="167"/>
      <c r="T30" s="216"/>
      <c r="U30" s="216"/>
      <c r="V30" s="167"/>
      <c r="W30" s="167"/>
      <c r="X30" s="167"/>
      <c r="Y30" s="167"/>
      <c r="Z30" s="167"/>
      <c r="AA30" s="167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</row>
    <row r="31" ht="18.75" customHeight="1">
      <c r="A31" s="235"/>
      <c r="B31" s="240" t="s">
        <v>161</v>
      </c>
      <c r="C31" s="241"/>
      <c r="D31" s="241"/>
      <c r="E31" s="241"/>
      <c r="F31" s="242">
        <f>SUM(I6:I31)</f>
        <v>0</v>
      </c>
      <c r="G31" s="232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216"/>
      <c r="U31" s="216"/>
      <c r="V31" s="167"/>
      <c r="W31" s="167"/>
      <c r="X31" s="167"/>
      <c r="Y31" s="167"/>
      <c r="Z31" s="167"/>
      <c r="AA31" s="167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</row>
    <row r="32" ht="18.75" customHeight="1">
      <c r="A32" s="243"/>
      <c r="B32" s="244"/>
      <c r="C32" s="244"/>
      <c r="D32" s="244"/>
      <c r="E32" s="244"/>
      <c r="F32" s="244"/>
      <c r="G32" s="232"/>
      <c r="H32" s="245"/>
      <c r="I32" s="245"/>
      <c r="J32" s="245"/>
      <c r="K32" s="246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ht="18.75" customHeight="1">
      <c r="A33" s="32"/>
      <c r="B33" s="247" t="s">
        <v>162</v>
      </c>
      <c r="C33" s="32"/>
      <c r="D33" s="32"/>
      <c r="E33" s="32"/>
      <c r="F33" s="32"/>
      <c r="G33" s="32"/>
      <c r="H33" s="224"/>
      <c r="I33" s="224"/>
      <c r="J33" s="224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ht="18.75" customHeight="1">
      <c r="A34" s="32"/>
      <c r="B34" s="32"/>
      <c r="C34" s="231" t="s">
        <v>163</v>
      </c>
      <c r="D34" s="248" t="s">
        <v>164</v>
      </c>
      <c r="E34" s="32"/>
      <c r="F34" s="32"/>
      <c r="G34" s="231" t="s">
        <v>165</v>
      </c>
      <c r="H34" s="224"/>
      <c r="I34" s="224"/>
      <c r="J34" s="224"/>
      <c r="K34" s="231" t="s">
        <v>166</v>
      </c>
      <c r="L34" s="249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ht="18.75" customHeight="1">
      <c r="A35" s="32"/>
      <c r="B35" s="234"/>
      <c r="C35" s="231"/>
      <c r="D35" s="230" t="s">
        <v>167</v>
      </c>
      <c r="E35" s="231" t="s">
        <v>168</v>
      </c>
      <c r="F35" s="231" t="s">
        <v>169</v>
      </c>
      <c r="G35" s="231"/>
      <c r="H35" s="221">
        <f>(K35/6000)*G35</f>
        <v>0</v>
      </c>
      <c r="I35" s="221">
        <f>H35*C35</f>
        <v>0</v>
      </c>
      <c r="J35" s="221">
        <f>((K35*C35)/1000)*104.18</f>
        <v>0</v>
      </c>
      <c r="K35" s="250"/>
      <c r="L35" s="249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ht="18.75" customHeight="1">
      <c r="A36" s="32"/>
      <c r="B36" s="234"/>
      <c r="C36" s="32"/>
      <c r="D36" s="248" t="s">
        <v>170</v>
      </c>
      <c r="E36" s="32"/>
      <c r="F36" s="223"/>
      <c r="G36" s="32"/>
      <c r="H36" s="224"/>
      <c r="I36" s="224"/>
      <c r="J36" s="224"/>
      <c r="K36" s="32"/>
      <c r="L36" s="249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ht="18.75" customHeight="1">
      <c r="A37" s="32"/>
      <c r="B37" s="234"/>
      <c r="C37" s="231"/>
      <c r="D37" s="230" t="s">
        <v>167</v>
      </c>
      <c r="E37" s="231" t="s">
        <v>168</v>
      </c>
      <c r="F37" s="231" t="s">
        <v>169</v>
      </c>
      <c r="G37" s="231"/>
      <c r="H37" s="221">
        <f t="shared" ref="H37:H38" si="4">(K37/6000)*G37</f>
        <v>0</v>
      </c>
      <c r="I37" s="221">
        <f t="shared" ref="I37:I38" si="5">H37*C37</f>
        <v>0</v>
      </c>
      <c r="J37" s="221">
        <f t="shared" ref="J37:J38" si="6">((K37*C37)/1000)*104.18</f>
        <v>0</v>
      </c>
      <c r="K37" s="250"/>
      <c r="L37" s="249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ht="18.75" customHeight="1">
      <c r="A38" s="251"/>
      <c r="B38" s="234"/>
      <c r="C38" s="231"/>
      <c r="D38" s="230" t="s">
        <v>167</v>
      </c>
      <c r="E38" s="231" t="s">
        <v>168</v>
      </c>
      <c r="F38" s="231" t="s">
        <v>169</v>
      </c>
      <c r="G38" s="231"/>
      <c r="H38" s="221">
        <f t="shared" si="4"/>
        <v>0</v>
      </c>
      <c r="I38" s="221">
        <f t="shared" si="5"/>
        <v>0</v>
      </c>
      <c r="J38" s="221">
        <f t="shared" si="6"/>
        <v>0</v>
      </c>
      <c r="K38" s="250"/>
      <c r="L38" s="249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ht="18.75" customHeight="1">
      <c r="A39" s="32"/>
      <c r="B39" s="234"/>
      <c r="C39" s="32"/>
      <c r="D39" s="248" t="s">
        <v>171</v>
      </c>
      <c r="E39" s="32"/>
      <c r="F39" s="32"/>
      <c r="G39" s="32"/>
      <c r="H39" s="224"/>
      <c r="I39" s="224"/>
      <c r="J39" s="224"/>
      <c r="K39" s="32"/>
      <c r="L39" s="24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ht="18.75" customHeight="1">
      <c r="A40" s="32"/>
      <c r="B40" s="234"/>
      <c r="C40" s="231"/>
      <c r="D40" s="230" t="s">
        <v>167</v>
      </c>
      <c r="E40" s="231" t="s">
        <v>168</v>
      </c>
      <c r="F40" s="231" t="s">
        <v>169</v>
      </c>
      <c r="G40" s="231"/>
      <c r="H40" s="221">
        <f>(K40/6000)*G40</f>
        <v>0</v>
      </c>
      <c r="I40" s="221">
        <f>H40*C40</f>
        <v>0</v>
      </c>
      <c r="J40" s="221">
        <f>((K40*C40)/1000)*104.18</f>
        <v>0</v>
      </c>
      <c r="K40" s="250"/>
      <c r="L40" s="249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</row>
    <row r="41" ht="18.75" customHeight="1">
      <c r="A41" s="32"/>
      <c r="B41" s="234"/>
      <c r="C41" s="32"/>
      <c r="D41" s="248" t="s">
        <v>172</v>
      </c>
      <c r="E41" s="32"/>
      <c r="F41" s="32"/>
      <c r="G41" s="32"/>
      <c r="H41" s="224"/>
      <c r="I41" s="224"/>
      <c r="J41" s="224"/>
      <c r="K41" s="32"/>
      <c r="L41" s="249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ht="18.75" customHeight="1">
      <c r="A42" s="32"/>
      <c r="B42" s="234"/>
      <c r="C42" s="231"/>
      <c r="D42" s="230" t="s">
        <v>167</v>
      </c>
      <c r="E42" s="231" t="s">
        <v>168</v>
      </c>
      <c r="F42" s="231" t="s">
        <v>169</v>
      </c>
      <c r="G42" s="231"/>
      <c r="H42" s="221">
        <f>(K42/6000)*G42</f>
        <v>0</v>
      </c>
      <c r="I42" s="221">
        <f>H42*C42</f>
        <v>0</v>
      </c>
      <c r="J42" s="221">
        <f>((K42*C42)/1000)*104.18</f>
        <v>0</v>
      </c>
      <c r="K42" s="250"/>
      <c r="L42" s="249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</row>
    <row r="43" ht="18.75" customHeight="1">
      <c r="A43" s="32"/>
      <c r="B43" s="234"/>
      <c r="C43" s="32"/>
      <c r="D43" s="32"/>
      <c r="E43" s="32"/>
      <c r="F43" s="32"/>
      <c r="G43" s="32"/>
      <c r="H43" s="223"/>
      <c r="I43" s="224"/>
      <c r="J43" s="224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</row>
    <row r="44" ht="18.75" customHeight="1">
      <c r="A44" s="32"/>
      <c r="B44" s="32"/>
      <c r="C44" s="32"/>
      <c r="D44" s="230" t="s">
        <v>173</v>
      </c>
      <c r="E44" s="32"/>
      <c r="F44" s="32"/>
      <c r="G44" s="32"/>
      <c r="H44" s="32"/>
      <c r="I44" s="223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</row>
    <row r="45" ht="18.75" customHeight="1">
      <c r="A45" s="32"/>
      <c r="B45" s="32"/>
      <c r="C45" s="32"/>
      <c r="D45" s="230" t="s">
        <v>174</v>
      </c>
      <c r="E45" s="32"/>
      <c r="F45" s="32"/>
      <c r="G45" s="32"/>
      <c r="H45" s="32"/>
      <c r="I45" s="222">
        <f>SUM(J35:J43)*2</f>
        <v>0</v>
      </c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</row>
    <row r="46" ht="18.75" customHeight="1">
      <c r="A46" s="235"/>
      <c r="B46" s="252"/>
      <c r="C46" s="252"/>
      <c r="D46" s="252"/>
      <c r="E46" s="252"/>
      <c r="F46" s="252"/>
      <c r="G46" s="32"/>
      <c r="H46" s="32"/>
      <c r="I46" s="223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</row>
    <row r="47" ht="18.75" customHeight="1">
      <c r="A47" s="235"/>
      <c r="B47" s="253" t="s">
        <v>175</v>
      </c>
      <c r="C47" s="254"/>
      <c r="D47" s="254"/>
      <c r="E47" s="254"/>
      <c r="F47" s="255">
        <f>SUM(I33:I47)</f>
        <v>0</v>
      </c>
      <c r="G47" s="32"/>
      <c r="H47" s="32"/>
      <c r="I47" s="224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</row>
    <row r="48" ht="18.75" customHeight="1">
      <c r="A48" s="210"/>
      <c r="B48" s="212"/>
      <c r="C48" s="212"/>
      <c r="D48" s="212"/>
      <c r="E48" s="212"/>
      <c r="F48" s="212"/>
      <c r="G48" s="32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216"/>
      <c r="U48" s="216"/>
      <c r="V48" s="167"/>
      <c r="W48" s="167"/>
      <c r="X48" s="167"/>
      <c r="Y48" s="167"/>
      <c r="Z48" s="167"/>
      <c r="AA48" s="167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</row>
    <row r="49" ht="18.75" customHeight="1">
      <c r="A49" s="216"/>
      <c r="B49" s="256" t="s">
        <v>176</v>
      </c>
      <c r="C49" s="216"/>
      <c r="D49" s="225"/>
      <c r="E49" s="257" t="s">
        <v>177</v>
      </c>
      <c r="F49" s="216"/>
      <c r="G49" s="32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216"/>
      <c r="U49" s="216"/>
      <c r="V49" s="167"/>
      <c r="W49" s="167"/>
      <c r="X49" s="167"/>
      <c r="Y49" s="167"/>
      <c r="Z49" s="167"/>
      <c r="AA49" s="167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</row>
    <row r="50" ht="18.75" customHeight="1">
      <c r="A50" s="216"/>
      <c r="B50" s="216"/>
      <c r="C50" s="217"/>
      <c r="D50" s="225" t="s">
        <v>176</v>
      </c>
      <c r="E50" s="219" t="s">
        <v>178</v>
      </c>
      <c r="F50" s="216"/>
      <c r="G50" s="32"/>
      <c r="H50" s="227">
        <v>1680.0</v>
      </c>
      <c r="I50" s="226">
        <f>H50*C50*1.3</f>
        <v>0</v>
      </c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</row>
    <row r="51" ht="18.75" customHeight="1">
      <c r="A51" s="216"/>
      <c r="B51" s="216"/>
      <c r="C51" s="217"/>
      <c r="D51" s="225" t="s">
        <v>179</v>
      </c>
      <c r="E51" s="217"/>
      <c r="F51" s="216"/>
      <c r="G51" s="32"/>
      <c r="H51" s="167"/>
      <c r="I51" s="227" t="s">
        <v>180</v>
      </c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</row>
    <row r="52" ht="18.75" customHeight="1">
      <c r="A52" s="216"/>
      <c r="B52" s="216"/>
      <c r="C52" s="216"/>
      <c r="D52" s="225"/>
      <c r="E52" s="217"/>
      <c r="F52" s="216"/>
      <c r="G52" s="32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</row>
    <row r="53" ht="18.75" customHeight="1">
      <c r="A53" s="216"/>
      <c r="B53" s="216"/>
      <c r="C53" s="216"/>
      <c r="D53" s="225" t="s">
        <v>173</v>
      </c>
      <c r="E53" s="217"/>
      <c r="F53" s="216"/>
      <c r="G53" s="32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</row>
    <row r="54" ht="18.75" customHeight="1">
      <c r="A54" s="216"/>
      <c r="B54" s="216"/>
      <c r="C54" s="217"/>
      <c r="D54" s="225" t="s">
        <v>181</v>
      </c>
      <c r="E54" s="217"/>
      <c r="F54" s="216"/>
      <c r="G54" s="32"/>
      <c r="H54" s="258">
        <v>25.0</v>
      </c>
      <c r="I54" s="226">
        <f t="shared" ref="I54:I55" si="7">H54*C54</f>
        <v>0</v>
      </c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</row>
    <row r="55" ht="18.75" customHeight="1">
      <c r="A55" s="216"/>
      <c r="B55" s="216"/>
      <c r="C55" s="217"/>
      <c r="D55" s="225" t="s">
        <v>182</v>
      </c>
      <c r="E55" s="217"/>
      <c r="F55" s="216"/>
      <c r="G55" s="32"/>
      <c r="H55" s="258">
        <v>5.0</v>
      </c>
      <c r="I55" s="226">
        <f t="shared" si="7"/>
        <v>0</v>
      </c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</row>
    <row r="56" ht="18.75" customHeight="1">
      <c r="A56" s="235"/>
      <c r="B56" s="236"/>
      <c r="C56" s="236"/>
      <c r="D56" s="236"/>
      <c r="E56" s="259"/>
      <c r="F56" s="236"/>
      <c r="G56" s="32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</row>
    <row r="57" ht="18.75" customHeight="1">
      <c r="A57" s="235"/>
      <c r="B57" s="240" t="s">
        <v>183</v>
      </c>
      <c r="C57" s="241"/>
      <c r="D57" s="241"/>
      <c r="E57" s="260"/>
      <c r="F57" s="242">
        <f>SUM(I49:I55)</f>
        <v>0</v>
      </c>
      <c r="G57" s="32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</row>
    <row r="58" ht="18.75" customHeight="1">
      <c r="A58" s="210"/>
      <c r="B58" s="212"/>
      <c r="C58" s="212"/>
      <c r="D58" s="212"/>
      <c r="E58" s="213"/>
      <c r="F58" s="212"/>
      <c r="G58" s="32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</row>
    <row r="59" ht="18.75" customHeight="1">
      <c r="A59" s="216"/>
      <c r="B59" s="256" t="s">
        <v>184</v>
      </c>
      <c r="C59" s="216"/>
      <c r="D59" s="225"/>
      <c r="E59" s="217"/>
      <c r="F59" s="216"/>
      <c r="G59" s="32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216"/>
      <c r="U59" s="216"/>
      <c r="V59" s="167"/>
      <c r="W59" s="167"/>
      <c r="X59" s="167"/>
      <c r="Y59" s="167"/>
      <c r="Z59" s="167"/>
      <c r="AA59" s="167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</row>
    <row r="60" ht="18.75" customHeight="1">
      <c r="A60" s="216"/>
      <c r="B60" s="216"/>
      <c r="C60" s="217"/>
      <c r="D60" s="225" t="s">
        <v>185</v>
      </c>
      <c r="E60" s="217"/>
      <c r="F60" s="217"/>
      <c r="G60" s="32"/>
      <c r="H60" s="258">
        <v>75.0</v>
      </c>
      <c r="I60" s="227">
        <f t="shared" ref="I60:I67" si="8">H60*C60</f>
        <v>0</v>
      </c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216"/>
      <c r="U60" s="216"/>
      <c r="V60" s="167"/>
      <c r="W60" s="167"/>
      <c r="X60" s="167"/>
      <c r="Y60" s="167"/>
      <c r="Z60" s="167"/>
      <c r="AA60" s="167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</row>
    <row r="61" ht="18.75" customHeight="1">
      <c r="A61" s="216"/>
      <c r="B61" s="216"/>
      <c r="C61" s="217"/>
      <c r="D61" s="230" t="s">
        <v>186</v>
      </c>
      <c r="E61" s="231" t="s">
        <v>187</v>
      </c>
      <c r="F61" s="261" t="s">
        <v>188</v>
      </c>
      <c r="G61" s="32"/>
      <c r="H61" s="262">
        <v>77.0</v>
      </c>
      <c r="I61" s="222">
        <f t="shared" si="8"/>
        <v>0</v>
      </c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216"/>
      <c r="U61" s="216"/>
      <c r="V61" s="167"/>
      <c r="W61" s="167"/>
      <c r="X61" s="167"/>
      <c r="Y61" s="167"/>
      <c r="Z61" s="167"/>
      <c r="AA61" s="167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</row>
    <row r="62" ht="18.75" customHeight="1">
      <c r="A62" s="216"/>
      <c r="B62" s="216"/>
      <c r="C62" s="217"/>
      <c r="D62" s="230" t="s">
        <v>189</v>
      </c>
      <c r="E62" s="231" t="s">
        <v>190</v>
      </c>
      <c r="F62" s="261" t="s">
        <v>188</v>
      </c>
      <c r="G62" s="32"/>
      <c r="H62" s="262">
        <v>70.0</v>
      </c>
      <c r="I62" s="222">
        <f t="shared" si="8"/>
        <v>0</v>
      </c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216"/>
      <c r="U62" s="216"/>
      <c r="V62" s="167"/>
      <c r="W62" s="167"/>
      <c r="X62" s="167"/>
      <c r="Y62" s="167"/>
      <c r="Z62" s="167"/>
      <c r="AA62" s="167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</row>
    <row r="63" ht="18.75" customHeight="1">
      <c r="A63" s="263"/>
      <c r="B63" s="264"/>
      <c r="C63" s="257"/>
      <c r="D63" s="230" t="s">
        <v>191</v>
      </c>
      <c r="E63" s="231" t="s">
        <v>192</v>
      </c>
      <c r="F63" s="231" t="s">
        <v>188</v>
      </c>
      <c r="G63" s="32"/>
      <c r="H63" s="262">
        <v>70.0</v>
      </c>
      <c r="I63" s="221">
        <f t="shared" si="8"/>
        <v>0</v>
      </c>
      <c r="J63" s="265"/>
      <c r="K63" s="101"/>
      <c r="L63" s="266"/>
      <c r="M63" s="101"/>
      <c r="N63" s="101"/>
      <c r="O63" s="101"/>
      <c r="P63" s="101"/>
      <c r="Q63" s="267"/>
      <c r="R63" s="267"/>
      <c r="S63" s="267"/>
      <c r="T63" s="257"/>
      <c r="U63" s="257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</row>
    <row r="64" ht="18.75" customHeight="1">
      <c r="A64" s="216"/>
      <c r="B64" s="216"/>
      <c r="C64" s="217"/>
      <c r="D64" s="230" t="s">
        <v>193</v>
      </c>
      <c r="E64" s="231" t="s">
        <v>194</v>
      </c>
      <c r="F64" s="231" t="s">
        <v>188</v>
      </c>
      <c r="G64" s="32"/>
      <c r="H64" s="262">
        <v>40.0</v>
      </c>
      <c r="I64" s="222">
        <f t="shared" si="8"/>
        <v>0</v>
      </c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216"/>
      <c r="U64" s="216"/>
      <c r="V64" s="167"/>
      <c r="W64" s="167"/>
      <c r="X64" s="167"/>
      <c r="Y64" s="167"/>
      <c r="Z64" s="167"/>
      <c r="AA64" s="167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</row>
    <row r="65" ht="18.75" customHeight="1">
      <c r="A65" s="216"/>
      <c r="B65" s="268"/>
      <c r="C65" s="217"/>
      <c r="D65" s="230" t="s">
        <v>195</v>
      </c>
      <c r="E65" s="32"/>
      <c r="F65" s="32"/>
      <c r="G65" s="32"/>
      <c r="H65" s="262">
        <v>110.0</v>
      </c>
      <c r="I65" s="222">
        <f t="shared" si="8"/>
        <v>0</v>
      </c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216"/>
      <c r="V65" s="167"/>
      <c r="W65" s="167"/>
      <c r="X65" s="167"/>
      <c r="Y65" s="167"/>
      <c r="Z65" s="167"/>
      <c r="AA65" s="167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</row>
    <row r="66" ht="18.75" customHeight="1">
      <c r="A66" s="216"/>
      <c r="B66" s="216"/>
      <c r="C66" s="217"/>
      <c r="D66" s="230" t="s">
        <v>196</v>
      </c>
      <c r="E66" s="32"/>
      <c r="F66" s="32"/>
      <c r="G66" s="32"/>
      <c r="H66" s="262">
        <v>75.0</v>
      </c>
      <c r="I66" s="222">
        <f t="shared" si="8"/>
        <v>0</v>
      </c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216"/>
      <c r="U66" s="216"/>
      <c r="V66" s="167"/>
      <c r="W66" s="167"/>
      <c r="X66" s="167"/>
      <c r="Y66" s="167"/>
      <c r="Z66" s="167"/>
      <c r="AA66" s="167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</row>
    <row r="67" ht="18.75" customHeight="1">
      <c r="A67" s="216"/>
      <c r="B67" s="269"/>
      <c r="C67" s="217"/>
      <c r="D67" s="230" t="s">
        <v>197</v>
      </c>
      <c r="E67" s="32"/>
      <c r="F67" s="231" t="s">
        <v>188</v>
      </c>
      <c r="G67" s="32"/>
      <c r="H67" s="270">
        <v>250.0</v>
      </c>
      <c r="I67" s="222">
        <f t="shared" si="8"/>
        <v>0</v>
      </c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71"/>
      <c r="V67" s="238"/>
      <c r="W67" s="238"/>
      <c r="X67" s="238"/>
      <c r="Y67" s="238"/>
      <c r="Z67" s="238"/>
      <c r="AA67" s="238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</row>
    <row r="68" ht="18.75" customHeight="1">
      <c r="A68" s="235"/>
      <c r="B68" s="272"/>
      <c r="C68" s="236"/>
      <c r="D68" s="236"/>
      <c r="E68" s="236"/>
      <c r="F68" s="273"/>
      <c r="G68" s="32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216"/>
      <c r="V68" s="167"/>
      <c r="W68" s="167"/>
      <c r="X68" s="167"/>
      <c r="Y68" s="167"/>
      <c r="Z68" s="167"/>
      <c r="AA68" s="167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</row>
    <row r="69" ht="18.75" customHeight="1">
      <c r="A69" s="235"/>
      <c r="B69" s="240" t="s">
        <v>198</v>
      </c>
      <c r="C69" s="241"/>
      <c r="D69" s="241"/>
      <c r="E69" s="241"/>
      <c r="F69" s="242">
        <f>SUM(I59:I69)</f>
        <v>0</v>
      </c>
      <c r="G69" s="32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216"/>
      <c r="V69" s="167"/>
      <c r="W69" s="167"/>
      <c r="X69" s="167"/>
      <c r="Y69" s="167"/>
      <c r="Z69" s="167"/>
      <c r="AA69" s="167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</row>
    <row r="70" ht="18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</row>
    <row r="71" ht="18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</row>
    <row r="72" ht="18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</row>
    <row r="73" ht="18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</row>
    <row r="74" ht="18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</row>
    <row r="75" ht="18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</row>
    <row r="76" ht="18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</row>
    <row r="77" ht="18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</row>
    <row r="78" ht="18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</row>
    <row r="79" ht="18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</row>
    <row r="80" ht="18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</row>
    <row r="81" ht="18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</row>
    <row r="82" ht="18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</row>
    <row r="83" ht="18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</row>
    <row r="84" ht="18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</row>
    <row r="85" ht="18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</row>
    <row r="86" ht="18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</row>
    <row r="87" ht="18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</row>
    <row r="88" ht="18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</row>
    <row r="89" ht="18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</row>
    <row r="90" ht="18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</row>
    <row r="91" ht="18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</row>
    <row r="92" ht="18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</row>
    <row r="93" ht="18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</row>
    <row r="94" ht="18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</row>
    <row r="95" ht="18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</row>
    <row r="96" ht="18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</row>
    <row r="97" ht="18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</row>
    <row r="98" ht="18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</row>
    <row r="99" ht="18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</row>
    <row r="100" ht="18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</row>
    <row r="101" ht="18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</row>
    <row r="102" ht="18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</row>
    <row r="103" ht="18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</row>
    <row r="104" ht="18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</row>
    <row r="105" ht="18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</row>
    <row r="106" ht="18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</row>
    <row r="107" ht="18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</row>
    <row r="108" ht="18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</row>
    <row r="109" ht="18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</row>
    <row r="110" ht="18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</row>
    <row r="111" ht="18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</row>
    <row r="112" ht="18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</row>
    <row r="113" ht="18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</row>
    <row r="114" ht="18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</row>
    <row r="115" ht="18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</row>
    <row r="116" ht="18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</row>
    <row r="117" ht="18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</row>
    <row r="118" ht="18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</row>
    <row r="119" ht="18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</row>
    <row r="120" ht="18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</row>
    <row r="121" ht="18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</row>
    <row r="122" ht="18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</row>
    <row r="123" ht="18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</row>
    <row r="124" ht="18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</row>
    <row r="125" ht="18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</row>
    <row r="126" ht="18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</row>
    <row r="127" ht="18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</row>
    <row r="128" ht="18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</row>
    <row r="129" ht="18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</row>
    <row r="130" ht="18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</row>
    <row r="131" ht="18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</row>
    <row r="132" ht="18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</row>
    <row r="133" ht="18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</row>
    <row r="134" ht="18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</row>
    <row r="135" ht="18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</row>
    <row r="136" ht="18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</row>
    <row r="137" ht="18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</row>
    <row r="138" ht="18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</row>
    <row r="139" ht="18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</row>
    <row r="140" ht="18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</row>
    <row r="141" ht="18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</row>
    <row r="142" ht="18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</row>
    <row r="143" ht="18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</row>
    <row r="144" ht="18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</row>
    <row r="145" ht="18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</row>
    <row r="146" ht="18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</row>
    <row r="147" ht="18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</row>
    <row r="148" ht="18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</row>
    <row r="149" ht="18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</row>
    <row r="150" ht="18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</row>
    <row r="151" ht="18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</row>
    <row r="152" ht="18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</row>
    <row r="153" ht="18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</row>
    <row r="154" ht="18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</row>
    <row r="155" ht="18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</row>
    <row r="156" ht="18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</row>
    <row r="157" ht="18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</row>
    <row r="158" ht="18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</row>
    <row r="159" ht="18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</row>
    <row r="160" ht="18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</row>
    <row r="161" ht="18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</row>
    <row r="162" ht="18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</row>
    <row r="163" ht="18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</row>
    <row r="164" ht="18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</row>
    <row r="165" ht="18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</row>
    <row r="166" ht="18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</row>
    <row r="167" ht="18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</row>
    <row r="168" ht="18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</row>
    <row r="169" ht="18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</row>
    <row r="170" ht="18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</row>
    <row r="171" ht="18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</row>
    <row r="172" ht="18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</row>
    <row r="173" ht="18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</row>
    <row r="174" ht="18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</row>
    <row r="175" ht="18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</row>
    <row r="176" ht="18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</row>
    <row r="177" ht="18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</row>
    <row r="178" ht="18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</row>
    <row r="179" ht="18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</row>
    <row r="180" ht="18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</row>
    <row r="181" ht="18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</row>
    <row r="182" ht="18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</row>
    <row r="183" ht="18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</row>
    <row r="184" ht="18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</row>
    <row r="185" ht="18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</row>
    <row r="186" ht="18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</row>
    <row r="187" ht="18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</row>
    <row r="188" ht="18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</row>
    <row r="189" ht="18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</row>
    <row r="190" ht="18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</row>
    <row r="191" ht="18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</row>
    <row r="192" ht="18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</row>
    <row r="193" ht="18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</row>
    <row r="194" ht="18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</row>
    <row r="195" ht="18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</row>
    <row r="196" ht="18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</row>
    <row r="197" ht="18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</row>
    <row r="198" ht="18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</row>
    <row r="199" ht="18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</row>
    <row r="200" ht="18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</row>
    <row r="201" ht="18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</row>
    <row r="202" ht="18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</row>
    <row r="203" ht="18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</row>
    <row r="204" ht="18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</row>
    <row r="205" ht="18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</row>
    <row r="206" ht="18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</row>
    <row r="207" ht="18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</row>
    <row r="208" ht="18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</row>
    <row r="209" ht="18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</row>
    <row r="210" ht="18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</row>
    <row r="211" ht="18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</row>
    <row r="212" ht="18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</row>
    <row r="213" ht="18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</row>
    <row r="214" ht="18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</row>
    <row r="215" ht="18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</row>
    <row r="216" ht="18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</row>
    <row r="217" ht="18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</row>
    <row r="218" ht="18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</row>
    <row r="219" ht="18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</row>
    <row r="220" ht="18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</row>
    <row r="221" ht="18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</row>
    <row r="222" ht="18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</row>
    <row r="223" ht="18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</row>
    <row r="224" ht="18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</row>
    <row r="225" ht="18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</row>
    <row r="226" ht="18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</row>
    <row r="227" ht="18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</row>
    <row r="228" ht="18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</row>
    <row r="229" ht="18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</row>
    <row r="230" ht="18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</row>
    <row r="231" ht="18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</row>
    <row r="232" ht="18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</row>
    <row r="233" ht="18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</row>
    <row r="234" ht="18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</row>
    <row r="235" ht="18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</row>
    <row r="236" ht="18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</row>
    <row r="237" ht="18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</row>
    <row r="238" ht="18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</row>
    <row r="239" ht="18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</row>
    <row r="240" ht="18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</row>
    <row r="241" ht="18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</row>
    <row r="242" ht="18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</row>
    <row r="243" ht="18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</row>
    <row r="244" ht="18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</row>
    <row r="245" ht="18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</row>
    <row r="246" ht="18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</row>
    <row r="247" ht="18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</row>
    <row r="248" ht="18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</row>
    <row r="249" ht="18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</row>
    <row r="250" ht="18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</row>
    <row r="251" ht="18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</row>
    <row r="252" ht="18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</row>
    <row r="253" ht="18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</row>
    <row r="254" ht="18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</row>
    <row r="255" ht="18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</row>
    <row r="256" ht="18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</row>
    <row r="257" ht="18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</row>
    <row r="258" ht="18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</row>
    <row r="259" ht="18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</row>
    <row r="260" ht="18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</row>
    <row r="261" ht="18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</row>
    <row r="262" ht="18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</row>
    <row r="263" ht="18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</row>
    <row r="264" ht="18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</row>
    <row r="265" ht="18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</row>
    <row r="266" ht="18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</row>
    <row r="267" ht="18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</row>
    <row r="268" ht="18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</row>
    <row r="269" ht="18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</row>
    <row r="270" ht="18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</row>
    <row r="271" ht="18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</row>
    <row r="272" ht="18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</row>
    <row r="273" ht="18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</row>
    <row r="274" ht="18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</row>
    <row r="275" ht="18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</row>
    <row r="276" ht="18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</row>
    <row r="277" ht="18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</row>
    <row r="278" ht="18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</row>
    <row r="279" ht="18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</row>
    <row r="280" ht="18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</row>
    <row r="281" ht="18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</row>
    <row r="282" ht="18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</row>
    <row r="283" ht="18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</row>
    <row r="284" ht="18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</row>
    <row r="285" ht="18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</row>
    <row r="286" ht="18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</row>
    <row r="287" ht="18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</row>
    <row r="288" ht="18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</row>
    <row r="289" ht="18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</row>
    <row r="290" ht="18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</row>
    <row r="291" ht="18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</row>
    <row r="292" ht="18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</row>
    <row r="293" ht="18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</row>
    <row r="294" ht="18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</row>
    <row r="295" ht="18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</row>
    <row r="296" ht="18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</row>
    <row r="297" ht="18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</row>
    <row r="298" ht="18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</row>
    <row r="299" ht="18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</row>
    <row r="300" ht="18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</row>
    <row r="301" ht="18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</row>
    <row r="302" ht="18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</row>
    <row r="303" ht="18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</row>
    <row r="304" ht="18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</row>
    <row r="305" ht="18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</row>
    <row r="306" ht="18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</row>
    <row r="307" ht="18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</row>
    <row r="308" ht="18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</row>
    <row r="309" ht="18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</row>
    <row r="310" ht="18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</row>
    <row r="311" ht="18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</row>
    <row r="312" ht="18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</row>
    <row r="313" ht="18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</row>
    <row r="314" ht="18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</row>
    <row r="315" ht="18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</row>
    <row r="316" ht="18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</row>
    <row r="317" ht="18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</row>
    <row r="318" ht="18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</row>
    <row r="319" ht="18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</row>
    <row r="320" ht="18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</row>
    <row r="321" ht="18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</row>
    <row r="322" ht="18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</row>
    <row r="323" ht="18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</row>
    <row r="324" ht="18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</row>
    <row r="325" ht="18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</row>
    <row r="326" ht="18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</row>
    <row r="327" ht="18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</row>
    <row r="328" ht="18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</row>
    <row r="329" ht="18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</row>
    <row r="330" ht="18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</row>
    <row r="331" ht="18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</row>
    <row r="332" ht="18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</row>
    <row r="333" ht="18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</row>
    <row r="334" ht="18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</row>
    <row r="335" ht="18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</row>
    <row r="336" ht="18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</row>
    <row r="337" ht="18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</row>
    <row r="338" ht="18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</row>
    <row r="339" ht="18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</row>
    <row r="340" ht="18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</row>
    <row r="341" ht="18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</row>
    <row r="342" ht="18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</row>
    <row r="343" ht="18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</row>
    <row r="344" ht="18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</row>
    <row r="345" ht="18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</row>
    <row r="346" ht="18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</row>
    <row r="347" ht="18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</row>
    <row r="348" ht="18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</row>
    <row r="349" ht="18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</row>
    <row r="350" ht="18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</row>
    <row r="351" ht="18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</row>
    <row r="352" ht="18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</row>
    <row r="353" ht="18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</row>
    <row r="354" ht="18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</row>
    <row r="355" ht="18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</row>
    <row r="356" ht="18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</row>
    <row r="357" ht="18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</row>
    <row r="358" ht="18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</row>
    <row r="359" ht="18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</row>
    <row r="360" ht="18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</row>
    <row r="361" ht="18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</row>
    <row r="362" ht="18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</row>
    <row r="363" ht="18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</row>
    <row r="364" ht="18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</row>
    <row r="365" ht="18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</row>
    <row r="366" ht="18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</row>
    <row r="367" ht="18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</row>
    <row r="368" ht="18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</row>
    <row r="369" ht="18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</row>
    <row r="370" ht="18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</row>
    <row r="371" ht="18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</row>
    <row r="372" ht="18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</row>
    <row r="373" ht="18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</row>
    <row r="374" ht="18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</row>
    <row r="375" ht="18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</row>
    <row r="376" ht="18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</row>
    <row r="377" ht="18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</row>
    <row r="378" ht="18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</row>
    <row r="379" ht="18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</row>
    <row r="380" ht="18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</row>
    <row r="381" ht="18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</row>
    <row r="382" ht="18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</row>
    <row r="383" ht="18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</row>
    <row r="384" ht="18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</row>
    <row r="385" ht="18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</row>
    <row r="386" ht="18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</row>
    <row r="387" ht="18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</row>
    <row r="388" ht="18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</row>
    <row r="389" ht="18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</row>
    <row r="390" ht="18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</row>
    <row r="391" ht="18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</row>
    <row r="392" ht="18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</row>
    <row r="393" ht="18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</row>
    <row r="394" ht="18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</row>
    <row r="395" ht="18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</row>
    <row r="396" ht="18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</row>
    <row r="397" ht="18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</row>
    <row r="398" ht="18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</row>
    <row r="399" ht="18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</row>
    <row r="400" ht="18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</row>
    <row r="401" ht="18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</row>
    <row r="402" ht="18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</row>
    <row r="403" ht="18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</row>
    <row r="404" ht="18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</row>
    <row r="405" ht="18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</row>
    <row r="406" ht="18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</row>
    <row r="407" ht="18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</row>
    <row r="408" ht="18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</row>
    <row r="409" ht="18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</row>
    <row r="410" ht="18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</row>
    <row r="411" ht="18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</row>
    <row r="412" ht="18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</row>
    <row r="413" ht="18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</row>
    <row r="414" ht="18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</row>
    <row r="415" ht="18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</row>
    <row r="416" ht="18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</row>
    <row r="417" ht="18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</row>
    <row r="418" ht="18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</row>
    <row r="419" ht="18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</row>
    <row r="420" ht="18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</row>
    <row r="421" ht="18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</row>
    <row r="422" ht="18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</row>
    <row r="423" ht="18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</row>
    <row r="424" ht="18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</row>
    <row r="425" ht="18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</row>
    <row r="426" ht="18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</row>
    <row r="427" ht="18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</row>
    <row r="428" ht="18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</row>
    <row r="429" ht="18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</row>
    <row r="430" ht="18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</row>
    <row r="431" ht="18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</row>
    <row r="432" ht="18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</row>
    <row r="433" ht="18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</row>
    <row r="434" ht="18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</row>
    <row r="435" ht="18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</row>
    <row r="436" ht="18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</row>
    <row r="437" ht="18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</row>
    <row r="438" ht="18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</row>
    <row r="439" ht="18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</row>
    <row r="440" ht="18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</row>
    <row r="441" ht="18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</row>
    <row r="442" ht="18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</row>
    <row r="443" ht="18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</row>
    <row r="444" ht="18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</row>
    <row r="445" ht="18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</row>
    <row r="446" ht="18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</row>
    <row r="447" ht="18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</row>
    <row r="448" ht="18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</row>
    <row r="449" ht="18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</row>
    <row r="450" ht="18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</row>
    <row r="451" ht="18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</row>
    <row r="452" ht="18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</row>
    <row r="453" ht="18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</row>
    <row r="454" ht="18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</row>
    <row r="455" ht="18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</row>
    <row r="456" ht="18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</row>
    <row r="457" ht="18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</row>
    <row r="458" ht="18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</row>
    <row r="459" ht="18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</row>
    <row r="460" ht="18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</row>
    <row r="461" ht="18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</row>
    <row r="462" ht="18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</row>
    <row r="463" ht="18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</row>
    <row r="464" ht="18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</row>
    <row r="465" ht="18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</row>
    <row r="466" ht="18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</row>
    <row r="467" ht="18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</row>
    <row r="468" ht="18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</row>
    <row r="469" ht="18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</row>
    <row r="470" ht="18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</row>
    <row r="471" ht="18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</row>
  </sheetData>
  <mergeCells count="6">
    <mergeCell ref="V2:X2"/>
    <mergeCell ref="V3:V4"/>
    <mergeCell ref="W3:W4"/>
    <mergeCell ref="X3:X4"/>
    <mergeCell ref="Y3:Y4"/>
    <mergeCell ref="H4:I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5.13"/>
    <col customWidth="1" min="3" max="3" width="6.38"/>
    <col customWidth="1" min="4" max="4" width="2.13"/>
    <col customWidth="1" min="5" max="5" width="6.13"/>
    <col customWidth="1" min="6" max="6" width="18.13"/>
    <col customWidth="1" min="7" max="7" width="6.25"/>
    <col customWidth="1" min="8" max="8" width="16.63"/>
    <col customWidth="1" min="9" max="9" width="4.88"/>
    <col customWidth="1" min="10" max="10" width="6.38"/>
    <col customWidth="1" min="11" max="11" width="9.63"/>
    <col customWidth="1" min="12" max="12" width="10.63"/>
    <col customWidth="1" min="13" max="26" width="7.88"/>
  </cols>
  <sheetData>
    <row r="1" ht="14.25" customHeight="1"/>
    <row r="2" ht="36.0" customHeight="1">
      <c r="B2" s="267"/>
    </row>
    <row r="3" ht="11.25" customHeight="1">
      <c r="F3" s="274" t="s">
        <v>199</v>
      </c>
    </row>
    <row r="4" ht="9.75" customHeight="1">
      <c r="F4" s="274"/>
    </row>
    <row r="5" ht="20.25" customHeight="1">
      <c r="B5" s="275" t="s">
        <v>200</v>
      </c>
    </row>
    <row r="6" ht="6.75" customHeight="1"/>
    <row r="7" ht="14.25" customHeight="1">
      <c r="B7" s="276" t="s">
        <v>201</v>
      </c>
      <c r="C7" s="142"/>
      <c r="D7" s="277"/>
      <c r="E7" s="278"/>
      <c r="F7" s="142"/>
      <c r="G7" s="142"/>
      <c r="H7" s="277"/>
      <c r="I7" s="101"/>
      <c r="J7" s="279" t="s">
        <v>0</v>
      </c>
      <c r="K7" s="280">
        <v>44267.0</v>
      </c>
      <c r="L7" s="277"/>
    </row>
    <row r="8" ht="14.25" customHeight="1">
      <c r="B8" s="281" t="s">
        <v>202</v>
      </c>
      <c r="C8" s="282"/>
      <c r="D8" s="283"/>
      <c r="E8" s="278"/>
      <c r="F8" s="142"/>
      <c r="G8" s="142"/>
      <c r="H8" s="277"/>
      <c r="J8" s="284" t="s">
        <v>203</v>
      </c>
      <c r="K8" s="285"/>
      <c r="L8" s="286"/>
    </row>
    <row r="9" ht="14.25" customHeight="1">
      <c r="B9" s="276" t="s">
        <v>204</v>
      </c>
      <c r="C9" s="142"/>
      <c r="D9" s="277"/>
      <c r="E9" s="278"/>
      <c r="F9" s="142"/>
      <c r="G9" s="142"/>
      <c r="H9" s="277"/>
      <c r="J9" s="287" t="s">
        <v>205</v>
      </c>
      <c r="K9" s="52"/>
      <c r="L9" s="53"/>
    </row>
    <row r="10" ht="14.25" customHeight="1">
      <c r="B10" s="276" t="s">
        <v>206</v>
      </c>
      <c r="C10" s="142"/>
      <c r="D10" s="277"/>
      <c r="E10" s="288"/>
      <c r="F10" s="142"/>
      <c r="G10" s="142"/>
      <c r="H10" s="277"/>
    </row>
    <row r="11" ht="7.5" customHeight="1">
      <c r="B11" s="69"/>
      <c r="C11" s="69"/>
      <c r="D11" s="69"/>
      <c r="E11" s="69"/>
    </row>
    <row r="12" ht="14.25" customHeight="1">
      <c r="B12" s="276" t="s">
        <v>207</v>
      </c>
      <c r="C12" s="142"/>
      <c r="D12" s="277"/>
      <c r="E12" s="278"/>
      <c r="F12" s="142"/>
      <c r="G12" s="142"/>
      <c r="H12" s="142"/>
      <c r="I12" s="142"/>
      <c r="J12" s="142"/>
      <c r="K12" s="142"/>
      <c r="L12" s="277"/>
    </row>
    <row r="13" ht="14.25" customHeight="1">
      <c r="B13" s="281" t="s">
        <v>208</v>
      </c>
      <c r="C13" s="282"/>
      <c r="D13" s="283"/>
      <c r="E13" s="278"/>
      <c r="F13" s="142"/>
      <c r="G13" s="142"/>
      <c r="H13" s="142"/>
      <c r="I13" s="142"/>
      <c r="J13" s="142"/>
      <c r="K13" s="142"/>
      <c r="L13" s="277"/>
    </row>
    <row r="14" ht="14.25" customHeight="1">
      <c r="B14" s="281" t="s">
        <v>209</v>
      </c>
      <c r="C14" s="282"/>
      <c r="D14" s="283"/>
      <c r="E14" s="278"/>
      <c r="F14" s="142"/>
      <c r="G14" s="142"/>
      <c r="H14" s="142"/>
      <c r="I14" s="142"/>
      <c r="J14" s="142"/>
      <c r="K14" s="142"/>
      <c r="L14" s="277"/>
    </row>
    <row r="15" ht="14.25" customHeight="1">
      <c r="B15" s="281" t="s">
        <v>210</v>
      </c>
      <c r="C15" s="282"/>
      <c r="D15" s="283"/>
      <c r="E15" s="278"/>
      <c r="F15" s="142"/>
      <c r="G15" s="142"/>
      <c r="H15" s="142"/>
      <c r="I15" s="142"/>
      <c r="J15" s="142"/>
      <c r="K15" s="142"/>
      <c r="L15" s="277"/>
    </row>
    <row r="16" ht="7.5" customHeight="1"/>
    <row r="17" ht="14.25" customHeight="1">
      <c r="B17" s="289" t="s">
        <v>211</v>
      </c>
      <c r="C17" s="290" t="s">
        <v>212</v>
      </c>
      <c r="D17" s="142"/>
      <c r="E17" s="142"/>
      <c r="F17" s="142"/>
      <c r="G17" s="277"/>
      <c r="H17" s="289" t="s">
        <v>135</v>
      </c>
      <c r="I17" s="291" t="s">
        <v>213</v>
      </c>
      <c r="J17" s="292" t="s">
        <v>214</v>
      </c>
      <c r="K17" s="292" t="s">
        <v>215</v>
      </c>
      <c r="L17" s="292" t="s">
        <v>216</v>
      </c>
    </row>
    <row r="18" ht="14.25" customHeight="1"/>
    <row r="19" ht="14.25" customHeight="1">
      <c r="B19" s="293">
        <v>1.0</v>
      </c>
      <c r="C19" s="294" t="s">
        <v>217</v>
      </c>
      <c r="D19" s="294"/>
      <c r="E19" s="294"/>
      <c r="F19" s="295"/>
      <c r="G19" s="296"/>
      <c r="H19" s="297"/>
      <c r="I19" s="298">
        <v>1.0</v>
      </c>
      <c r="J19" s="298" t="s">
        <v>53</v>
      </c>
      <c r="K19" s="299" t="str">
        <f>#REF!</f>
        <v>#REF!</v>
      </c>
      <c r="L19" s="300" t="str">
        <f>SUMMARY!$K19*SUMMARY!$I19</f>
        <v>#REF!</v>
      </c>
    </row>
    <row r="20" ht="14.25" customHeight="1">
      <c r="B20" s="301"/>
      <c r="C20" s="302" t="s">
        <v>218</v>
      </c>
      <c r="D20" s="302" t="s">
        <v>219</v>
      </c>
      <c r="E20" s="302"/>
      <c r="F20" s="302"/>
      <c r="G20" s="303" t="s">
        <v>220</v>
      </c>
      <c r="H20" s="304" t="s">
        <v>221</v>
      </c>
      <c r="I20" s="305"/>
      <c r="J20" s="305"/>
      <c r="K20" s="306"/>
      <c r="L20" s="307"/>
    </row>
    <row r="21" ht="14.25" customHeight="1">
      <c r="B21" s="301"/>
      <c r="C21" s="302" t="s">
        <v>222</v>
      </c>
      <c r="D21" s="302"/>
      <c r="E21" s="302"/>
      <c r="F21" s="302"/>
      <c r="G21" s="303"/>
      <c r="H21" s="304"/>
      <c r="I21" s="305"/>
      <c r="J21" s="305"/>
      <c r="K21" s="306"/>
      <c r="L21" s="307"/>
    </row>
    <row r="22" ht="14.25" customHeight="1">
      <c r="B22" s="301"/>
      <c r="C22" s="308">
        <v>4.0</v>
      </c>
      <c r="D22" s="302" t="s">
        <v>223</v>
      </c>
      <c r="E22" s="302"/>
      <c r="F22" s="302"/>
      <c r="G22" s="303" t="s">
        <v>220</v>
      </c>
      <c r="H22" s="304" t="s">
        <v>224</v>
      </c>
      <c r="I22" s="305"/>
      <c r="J22" s="305"/>
      <c r="K22" s="306"/>
      <c r="L22" s="307"/>
    </row>
    <row r="23" ht="14.25" customHeight="1">
      <c r="B23" s="301"/>
      <c r="C23" s="302" t="s">
        <v>225</v>
      </c>
      <c r="D23" s="302"/>
      <c r="E23" s="302"/>
      <c r="F23" s="302"/>
      <c r="G23" s="303"/>
      <c r="H23" s="304"/>
      <c r="I23" s="305"/>
      <c r="J23" s="305"/>
      <c r="K23" s="306"/>
      <c r="L23" s="307"/>
    </row>
    <row r="24" ht="14.25" customHeight="1">
      <c r="B24" s="301"/>
      <c r="C24" s="302" t="s">
        <v>226</v>
      </c>
      <c r="D24" s="302"/>
      <c r="E24" s="302"/>
      <c r="F24" s="302"/>
      <c r="G24" s="303"/>
      <c r="H24" s="304"/>
      <c r="I24" s="305"/>
      <c r="J24" s="305"/>
      <c r="K24" s="306"/>
      <c r="L24" s="307"/>
    </row>
    <row r="25" ht="14.25" customHeight="1">
      <c r="B25" s="301"/>
      <c r="C25" s="302" t="s">
        <v>227</v>
      </c>
      <c r="D25" s="309"/>
      <c r="E25" s="309"/>
      <c r="F25" s="302"/>
      <c r="G25" s="303"/>
      <c r="H25" s="304"/>
      <c r="I25" s="305"/>
      <c r="J25" s="305"/>
      <c r="K25" s="306"/>
      <c r="L25" s="307"/>
    </row>
    <row r="26" ht="14.25" customHeight="1">
      <c r="B26" s="301"/>
      <c r="C26" s="302" t="s">
        <v>228</v>
      </c>
      <c r="D26" s="302"/>
      <c r="E26" s="302"/>
      <c r="F26" s="302"/>
      <c r="G26" s="303"/>
      <c r="H26" s="304"/>
      <c r="I26" s="305"/>
      <c r="J26" s="305"/>
      <c r="K26" s="306"/>
      <c r="L26" s="307"/>
    </row>
    <row r="27" ht="14.25" customHeight="1">
      <c r="B27" s="301"/>
      <c r="C27" s="302"/>
      <c r="D27" s="302"/>
      <c r="E27" s="302"/>
      <c r="F27" s="302"/>
      <c r="G27" s="303"/>
      <c r="H27" s="304"/>
      <c r="I27" s="305"/>
      <c r="J27" s="305"/>
      <c r="K27" s="306"/>
      <c r="L27" s="307"/>
    </row>
    <row r="28" ht="14.25" customHeight="1">
      <c r="B28" s="310"/>
      <c r="C28" s="311"/>
      <c r="D28" s="311"/>
      <c r="E28" s="311"/>
      <c r="F28" s="311"/>
      <c r="G28" s="312"/>
      <c r="H28" s="313"/>
      <c r="I28" s="314"/>
      <c r="J28" s="314"/>
      <c r="K28" s="315"/>
      <c r="L28" s="316"/>
    </row>
    <row r="29" ht="14.25" customHeight="1">
      <c r="H29" s="317" t="s">
        <v>121</v>
      </c>
      <c r="I29" s="49"/>
      <c r="J29" s="49"/>
      <c r="K29" s="318" t="str">
        <f>SUM(L19:L28)</f>
        <v>#REF!</v>
      </c>
      <c r="L29" s="319"/>
    </row>
    <row r="30" ht="14.25" customHeight="1">
      <c r="B30" s="320" t="s">
        <v>4</v>
      </c>
      <c r="C30" s="320" t="s">
        <v>229</v>
      </c>
      <c r="D30" s="320"/>
      <c r="E30" s="320"/>
      <c r="F30" s="321"/>
      <c r="H30" s="322"/>
      <c r="I30" s="322"/>
      <c r="J30" s="322"/>
      <c r="K30" s="323"/>
      <c r="L30" s="323"/>
    </row>
    <row r="31" ht="8.25" customHeight="1">
      <c r="A31" s="324"/>
      <c r="H31" s="322"/>
      <c r="I31" s="322"/>
      <c r="J31" s="322"/>
      <c r="K31" s="325"/>
      <c r="L31" s="325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</row>
    <row r="32" ht="14.25" customHeight="1">
      <c r="B32" s="326" t="s">
        <v>230</v>
      </c>
      <c r="G32" s="324"/>
      <c r="H32" s="324"/>
      <c r="I32" s="324"/>
      <c r="J32" s="324"/>
      <c r="K32" s="324"/>
      <c r="L32" s="324"/>
    </row>
    <row r="33" ht="14.25" customHeight="1">
      <c r="B33" s="327" t="s">
        <v>231</v>
      </c>
      <c r="D33" s="327"/>
      <c r="E33" s="328" t="s">
        <v>232</v>
      </c>
      <c r="G33" s="328"/>
      <c r="H33" s="328"/>
      <c r="I33" s="328"/>
      <c r="J33" s="328"/>
      <c r="K33" s="328"/>
      <c r="L33" s="328"/>
    </row>
    <row r="34" ht="14.25" customHeight="1">
      <c r="B34" s="327" t="s">
        <v>233</v>
      </c>
      <c r="D34" s="327"/>
      <c r="E34" s="327" t="s">
        <v>234</v>
      </c>
    </row>
    <row r="35" ht="15.75" customHeight="1">
      <c r="B35" s="327" t="s">
        <v>235</v>
      </c>
      <c r="D35" s="327"/>
      <c r="E35" s="328" t="s">
        <v>236</v>
      </c>
      <c r="F35" s="328"/>
      <c r="G35" s="328"/>
      <c r="H35" s="328"/>
      <c r="I35" s="328"/>
      <c r="J35" s="328"/>
      <c r="K35" s="328"/>
      <c r="L35" s="328"/>
    </row>
    <row r="36" ht="15.75" customHeight="1">
      <c r="B36" s="328" t="s">
        <v>237</v>
      </c>
      <c r="C36" s="328"/>
      <c r="D36" s="327"/>
      <c r="E36" s="329" t="s">
        <v>238</v>
      </c>
    </row>
    <row r="37" ht="6.75" customHeight="1">
      <c r="B37" s="328"/>
      <c r="C37" s="328"/>
      <c r="D37" s="328"/>
    </row>
    <row r="38" ht="6.75" customHeight="1">
      <c r="B38" s="328"/>
      <c r="C38" s="328"/>
      <c r="D38" s="328"/>
    </row>
    <row r="39" ht="14.25" customHeight="1">
      <c r="B39" s="328"/>
      <c r="C39" s="328"/>
      <c r="D39" s="328"/>
    </row>
    <row r="40" ht="14.25" customHeight="1">
      <c r="B40" s="328" t="s">
        <v>239</v>
      </c>
      <c r="C40" s="328"/>
      <c r="D40" s="328"/>
      <c r="E40" s="328"/>
      <c r="F40" s="328"/>
      <c r="G40" s="328"/>
      <c r="H40" s="328"/>
      <c r="I40" s="328"/>
      <c r="J40" s="328"/>
      <c r="K40" s="328"/>
      <c r="L40" s="328"/>
    </row>
    <row r="41" ht="19.5" customHeight="1"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</row>
    <row r="42" ht="14.25" customHeight="1">
      <c r="A42" s="330"/>
      <c r="B42" s="331" t="s">
        <v>240</v>
      </c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30"/>
      <c r="N42" s="330"/>
      <c r="O42" s="330"/>
      <c r="P42" s="330"/>
      <c r="Q42" s="330"/>
      <c r="R42" s="330"/>
      <c r="S42" s="330"/>
      <c r="T42" s="330"/>
      <c r="U42" s="330"/>
      <c r="V42" s="330"/>
      <c r="W42" s="330"/>
      <c r="X42" s="330"/>
      <c r="Y42" s="330"/>
      <c r="Z42" s="330"/>
    </row>
    <row r="43" ht="14.25" customHeight="1">
      <c r="A43" s="332"/>
      <c r="B43" s="332"/>
      <c r="C43" s="330"/>
      <c r="D43" s="330"/>
      <c r="E43" s="330"/>
      <c r="F43" s="332"/>
      <c r="G43" s="332"/>
      <c r="H43" s="332"/>
      <c r="I43" s="332"/>
      <c r="J43" s="332"/>
      <c r="K43" s="330"/>
      <c r="L43" s="330"/>
      <c r="M43" s="332"/>
      <c r="N43" s="330" t="s">
        <v>241</v>
      </c>
      <c r="O43" s="332"/>
      <c r="P43" s="332"/>
      <c r="Q43" s="332"/>
      <c r="R43" s="330" t="s">
        <v>242</v>
      </c>
      <c r="S43" s="332"/>
      <c r="T43" s="332"/>
      <c r="U43" s="332"/>
      <c r="V43" s="332"/>
      <c r="W43" s="332"/>
      <c r="X43" s="332"/>
      <c r="Y43" s="332"/>
      <c r="Z43" s="332"/>
    </row>
    <row r="44" ht="14.25" customHeight="1">
      <c r="B44" s="330" t="s">
        <v>243</v>
      </c>
      <c r="C44" s="333"/>
      <c r="D44" s="333"/>
      <c r="E44" s="333"/>
      <c r="K44" s="332"/>
      <c r="L44" s="333"/>
      <c r="N44" s="333" t="s">
        <v>244</v>
      </c>
      <c r="R44" s="333" t="s">
        <v>245</v>
      </c>
    </row>
    <row r="45" ht="14.25" customHeight="1">
      <c r="B45" s="333" t="s">
        <v>246</v>
      </c>
      <c r="N45" s="328" t="s">
        <v>247</v>
      </c>
      <c r="R45" s="328" t="s">
        <v>248</v>
      </c>
    </row>
    <row r="46" ht="14.25" customHeight="1">
      <c r="B46" s="334" t="s">
        <v>249</v>
      </c>
      <c r="G46" s="334"/>
      <c r="N46" s="328"/>
      <c r="R46" s="328"/>
    </row>
    <row r="47" ht="14.25" customHeight="1"/>
    <row r="48" ht="14.25" customHeight="1">
      <c r="B48" s="328" t="s">
        <v>250</v>
      </c>
    </row>
    <row r="49" ht="14.25" customHeight="1">
      <c r="N49" s="330" t="s">
        <v>251</v>
      </c>
    </row>
    <row r="50" ht="14.25" customHeight="1">
      <c r="B50" s="330" t="s">
        <v>252</v>
      </c>
      <c r="N50" s="333" t="s">
        <v>246</v>
      </c>
    </row>
    <row r="51" ht="14.25" customHeight="1">
      <c r="B51" s="333" t="s">
        <v>253</v>
      </c>
      <c r="N51" s="328" t="s">
        <v>254</v>
      </c>
    </row>
    <row r="52" ht="14.25" customHeight="1">
      <c r="B52" s="334" t="s">
        <v>255</v>
      </c>
    </row>
    <row r="53" ht="14.25" customHeight="1"/>
    <row r="54" ht="14.25" customHeight="1">
      <c r="B54" s="328" t="s">
        <v>256</v>
      </c>
    </row>
    <row r="55" ht="14.25" customHeight="1"/>
    <row r="56" ht="14.25" customHeight="1">
      <c r="B56" s="335" t="s">
        <v>257</v>
      </c>
      <c r="G56" s="335" t="s">
        <v>258</v>
      </c>
    </row>
    <row r="57" ht="14.25" customHeight="1">
      <c r="B57" s="336" t="s">
        <v>259</v>
      </c>
      <c r="G57" s="336" t="s">
        <v>260</v>
      </c>
    </row>
    <row r="58" ht="14.25" customHeight="1">
      <c r="B58" s="334" t="s">
        <v>261</v>
      </c>
      <c r="G58" s="334" t="s">
        <v>262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7:D7"/>
    <mergeCell ref="B9:D9"/>
    <mergeCell ref="B10:D10"/>
    <mergeCell ref="B12:D12"/>
    <mergeCell ref="B2:L2"/>
    <mergeCell ref="F3:J3"/>
    <mergeCell ref="F4:J4"/>
    <mergeCell ref="B5:L5"/>
    <mergeCell ref="E7:H7"/>
    <mergeCell ref="K7:L7"/>
    <mergeCell ref="E8:H8"/>
    <mergeCell ref="E9:H9"/>
    <mergeCell ref="J9:L9"/>
    <mergeCell ref="E10:H10"/>
    <mergeCell ref="E12:L12"/>
    <mergeCell ref="E13:L13"/>
    <mergeCell ref="E14:L14"/>
    <mergeCell ref="E15:L15"/>
    <mergeCell ref="E34:L34"/>
    <mergeCell ref="E36:L39"/>
    <mergeCell ref="C17:G17"/>
    <mergeCell ref="H29:J29"/>
    <mergeCell ref="K29:L29"/>
    <mergeCell ref="B32:F32"/>
    <mergeCell ref="B33:C33"/>
    <mergeCell ref="B34:C34"/>
    <mergeCell ref="B35:C35"/>
  </mergeCells>
  <printOptions/>
  <pageMargins bottom="0.75" footer="0.0" header="0.0" left="0.67" right="0.25" top="0.75"/>
  <pageSetup fitToHeight="0"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4.0"/>
    <col customWidth="1" min="3" max="3" width="9.13"/>
    <col customWidth="1" min="4" max="4" width="19.63"/>
    <col customWidth="1" min="5" max="6" width="7.88"/>
    <col customWidth="1" min="7" max="7" width="11.13"/>
    <col customWidth="1" min="8" max="8" width="14.63"/>
    <col customWidth="1" min="9" max="9" width="13.75"/>
    <col customWidth="1" min="10" max="10" width="11.75"/>
  </cols>
  <sheetData>
    <row r="1" ht="14.25" customHeight="1">
      <c r="A1" s="337" t="s">
        <v>263</v>
      </c>
      <c r="B1" s="338" t="s">
        <v>264</v>
      </c>
      <c r="C1" s="142"/>
      <c r="D1" s="142"/>
      <c r="E1" s="142"/>
      <c r="F1" s="277"/>
    </row>
    <row r="2" ht="14.25" customHeight="1">
      <c r="A2" s="337" t="s">
        <v>265</v>
      </c>
      <c r="B2" s="339"/>
      <c r="C2" s="142"/>
      <c r="D2" s="142"/>
      <c r="E2" s="142"/>
      <c r="F2" s="277"/>
    </row>
    <row r="3" ht="14.25" customHeight="1">
      <c r="A3" s="340"/>
      <c r="B3" s="341"/>
      <c r="C3" s="340"/>
      <c r="D3" s="340"/>
      <c r="E3" s="340"/>
      <c r="F3" s="340"/>
    </row>
    <row r="4" ht="14.25" customHeight="1">
      <c r="A4" s="340"/>
      <c r="B4" s="341"/>
      <c r="C4" s="340"/>
      <c r="D4" s="340"/>
      <c r="E4" s="340"/>
      <c r="F4" s="340"/>
    </row>
    <row r="5" ht="14.25" customHeight="1">
      <c r="A5" s="337" t="s">
        <v>212</v>
      </c>
      <c r="B5" s="337"/>
      <c r="C5" s="337"/>
      <c r="D5" s="337" t="s">
        <v>135</v>
      </c>
      <c r="E5" s="337" t="s">
        <v>163</v>
      </c>
      <c r="F5" s="337" t="s">
        <v>266</v>
      </c>
      <c r="G5" s="337" t="s">
        <v>267</v>
      </c>
      <c r="H5" s="337" t="s">
        <v>268</v>
      </c>
      <c r="I5" s="337" t="s">
        <v>269</v>
      </c>
      <c r="J5" s="337" t="s">
        <v>215</v>
      </c>
    </row>
    <row r="6" ht="14.25" customHeight="1">
      <c r="A6" s="342" t="s">
        <v>270</v>
      </c>
      <c r="B6" s="142"/>
      <c r="C6" s="142"/>
      <c r="D6" s="142"/>
      <c r="E6" s="142"/>
      <c r="F6" s="142"/>
      <c r="G6" s="142"/>
      <c r="H6" s="142"/>
      <c r="I6" s="142"/>
      <c r="J6" s="277"/>
    </row>
    <row r="7" ht="14.25" customHeight="1">
      <c r="A7" s="337" t="s">
        <v>271</v>
      </c>
      <c r="B7" s="337"/>
      <c r="C7" s="337" t="s">
        <v>220</v>
      </c>
      <c r="D7" s="337" t="s">
        <v>272</v>
      </c>
      <c r="E7" s="337">
        <v>1.0</v>
      </c>
      <c r="F7" s="337" t="s">
        <v>273</v>
      </c>
      <c r="G7" s="337" t="s">
        <v>274</v>
      </c>
      <c r="H7" s="337"/>
      <c r="I7" s="337"/>
      <c r="J7" s="343">
        <v>1734.13910715184</v>
      </c>
    </row>
    <row r="8" ht="14.25" customHeight="1">
      <c r="A8" s="337" t="s">
        <v>275</v>
      </c>
      <c r="B8" s="337"/>
      <c r="C8" s="337" t="s">
        <v>220</v>
      </c>
      <c r="D8" s="337" t="s">
        <v>276</v>
      </c>
      <c r="E8" s="337">
        <v>3.0</v>
      </c>
      <c r="F8" s="337" t="s">
        <v>139</v>
      </c>
      <c r="G8" s="337" t="s">
        <v>274</v>
      </c>
      <c r="H8" s="337"/>
      <c r="I8" s="337"/>
      <c r="J8" s="343">
        <v>821.76841317832</v>
      </c>
    </row>
    <row r="9" ht="14.25" customHeight="1">
      <c r="A9" s="342" t="s">
        <v>162</v>
      </c>
      <c r="B9" s="142"/>
      <c r="C9" s="142"/>
      <c r="D9" s="142"/>
      <c r="E9" s="142"/>
      <c r="F9" s="142"/>
      <c r="G9" s="142"/>
      <c r="H9" s="142"/>
      <c r="I9" s="142"/>
      <c r="J9" s="277"/>
    </row>
    <row r="10" ht="14.25" customHeight="1">
      <c r="A10" s="337" t="s">
        <v>277</v>
      </c>
      <c r="B10" s="337"/>
      <c r="C10" s="337"/>
      <c r="D10" s="337" t="s">
        <v>278</v>
      </c>
      <c r="E10" s="337">
        <v>0.93</v>
      </c>
      <c r="F10" s="337" t="s">
        <v>108</v>
      </c>
      <c r="G10" s="337" t="s">
        <v>279</v>
      </c>
      <c r="H10" s="344"/>
      <c r="I10" s="344"/>
      <c r="J10" s="343">
        <f>2220/6</f>
        <v>370</v>
      </c>
    </row>
    <row r="11" ht="14.25" customHeight="1">
      <c r="A11" s="337" t="s">
        <v>280</v>
      </c>
      <c r="B11" s="337"/>
      <c r="C11" s="337"/>
      <c r="D11" s="337" t="s">
        <v>281</v>
      </c>
      <c r="E11" s="337">
        <v>1.853</v>
      </c>
      <c r="F11" s="337" t="s">
        <v>108</v>
      </c>
      <c r="G11" s="337" t="s">
        <v>279</v>
      </c>
      <c r="H11" s="344"/>
      <c r="I11" s="344"/>
      <c r="J11" s="343">
        <f>1150/6</f>
        <v>191.6666667</v>
      </c>
    </row>
    <row r="12" ht="14.25" customHeight="1">
      <c r="A12" s="342" t="s">
        <v>176</v>
      </c>
      <c r="B12" s="142"/>
      <c r="C12" s="142"/>
      <c r="D12" s="142"/>
      <c r="E12" s="142"/>
      <c r="F12" s="142"/>
      <c r="G12" s="142"/>
      <c r="H12" s="142"/>
      <c r="I12" s="142"/>
      <c r="J12" s="277"/>
    </row>
    <row r="13" ht="14.25" customHeight="1">
      <c r="A13" s="337" t="s">
        <v>282</v>
      </c>
      <c r="B13" s="337"/>
      <c r="C13" s="337"/>
      <c r="D13" s="337"/>
      <c r="E13" s="337">
        <v>0.61</v>
      </c>
      <c r="F13" s="337" t="s">
        <v>283</v>
      </c>
      <c r="G13" s="337" t="s">
        <v>284</v>
      </c>
      <c r="H13" s="344"/>
      <c r="I13" s="344"/>
      <c r="J13" s="344">
        <v>1358.0</v>
      </c>
    </row>
    <row r="14" ht="14.25" customHeight="1">
      <c r="A14" s="342" t="s">
        <v>285</v>
      </c>
      <c r="B14" s="142"/>
      <c r="C14" s="142"/>
      <c r="D14" s="142"/>
      <c r="E14" s="142"/>
      <c r="F14" s="142"/>
      <c r="G14" s="142"/>
      <c r="H14" s="142"/>
      <c r="I14" s="142"/>
      <c r="J14" s="277"/>
    </row>
    <row r="15" ht="14.25" customHeight="1">
      <c r="A15" s="337" t="s">
        <v>286</v>
      </c>
      <c r="B15" s="337"/>
      <c r="C15" s="337"/>
      <c r="D15" s="337" t="s">
        <v>287</v>
      </c>
      <c r="E15" s="337">
        <v>2.6</v>
      </c>
      <c r="F15" s="337" t="s">
        <v>108</v>
      </c>
      <c r="G15" s="337"/>
      <c r="H15" s="344"/>
      <c r="I15" s="344"/>
      <c r="J15" s="343">
        <f>694.4/150</f>
        <v>4.629333333</v>
      </c>
    </row>
    <row r="16" ht="14.25" customHeight="1">
      <c r="A16" s="337" t="s">
        <v>288</v>
      </c>
      <c r="B16" s="337" t="s">
        <v>289</v>
      </c>
      <c r="C16" s="337"/>
      <c r="D16" s="337" t="s">
        <v>290</v>
      </c>
      <c r="E16" s="337">
        <v>3.0</v>
      </c>
      <c r="F16" s="337" t="s">
        <v>139</v>
      </c>
      <c r="G16" s="337" t="s">
        <v>291</v>
      </c>
      <c r="H16" s="344"/>
      <c r="I16" s="344"/>
      <c r="J16" s="343">
        <v>50.0</v>
      </c>
    </row>
    <row r="17" ht="14.25" customHeight="1">
      <c r="A17" s="337" t="s">
        <v>292</v>
      </c>
      <c r="B17" s="337" t="s">
        <v>293</v>
      </c>
      <c r="C17" s="337"/>
      <c r="D17" s="337" t="s">
        <v>294</v>
      </c>
      <c r="E17" s="337">
        <v>1.0</v>
      </c>
      <c r="F17" s="337" t="s">
        <v>139</v>
      </c>
      <c r="G17" s="337" t="s">
        <v>274</v>
      </c>
      <c r="H17" s="344"/>
      <c r="I17" s="344"/>
      <c r="J17" s="343">
        <v>123.51</v>
      </c>
    </row>
    <row r="18" ht="14.25" customHeight="1">
      <c r="A18" s="337" t="s">
        <v>295</v>
      </c>
      <c r="B18" s="337" t="s">
        <v>296</v>
      </c>
      <c r="C18" s="337"/>
      <c r="D18" s="337"/>
      <c r="E18" s="337">
        <v>4.0</v>
      </c>
      <c r="F18" s="337" t="s">
        <v>139</v>
      </c>
      <c r="G18" s="337" t="s">
        <v>297</v>
      </c>
      <c r="H18" s="344"/>
      <c r="I18" s="344"/>
      <c r="J18" s="343">
        <v>55.0</v>
      </c>
    </row>
    <row r="19" ht="14.25" customHeight="1">
      <c r="A19" s="337" t="s">
        <v>298</v>
      </c>
      <c r="B19" s="337"/>
      <c r="C19" s="337"/>
      <c r="D19" s="337"/>
      <c r="E19" s="337">
        <v>2.0</v>
      </c>
      <c r="F19" s="337" t="s">
        <v>139</v>
      </c>
      <c r="G19" s="337" t="s">
        <v>297</v>
      </c>
      <c r="H19" s="344"/>
      <c r="I19" s="344"/>
      <c r="J19" s="343">
        <v>65.0</v>
      </c>
    </row>
    <row r="20" ht="14.25" customHeight="1">
      <c r="A20" s="337" t="s">
        <v>299</v>
      </c>
      <c r="B20" s="337"/>
      <c r="C20" s="337"/>
      <c r="D20" s="337" t="s">
        <v>300</v>
      </c>
      <c r="E20" s="337">
        <v>8.0</v>
      </c>
      <c r="F20" s="337" t="s">
        <v>139</v>
      </c>
      <c r="G20" s="337"/>
      <c r="H20" s="344"/>
      <c r="I20" s="344"/>
      <c r="J20" s="343">
        <v>20.0</v>
      </c>
    </row>
    <row r="21" ht="14.25" customHeight="1">
      <c r="A21" s="345" t="s">
        <v>301</v>
      </c>
      <c r="B21" s="346" t="s">
        <v>302</v>
      </c>
      <c r="C21" s="142"/>
      <c r="D21" s="277"/>
      <c r="E21" s="337">
        <v>1.0</v>
      </c>
      <c r="F21" s="337" t="s">
        <v>273</v>
      </c>
      <c r="G21" s="337"/>
      <c r="H21" s="344"/>
      <c r="I21" s="344"/>
      <c r="J21" s="343">
        <v>110.0</v>
      </c>
    </row>
    <row r="22" ht="14.25" customHeight="1">
      <c r="A22" s="342" t="s">
        <v>303</v>
      </c>
      <c r="B22" s="142"/>
      <c r="C22" s="142"/>
      <c r="D22" s="142"/>
      <c r="E22" s="142"/>
      <c r="F22" s="142"/>
      <c r="G22" s="142"/>
      <c r="H22" s="142"/>
      <c r="I22" s="142"/>
      <c r="J22" s="277"/>
    </row>
    <row r="23" ht="14.25" customHeight="1">
      <c r="A23" s="337" t="s">
        <v>304</v>
      </c>
      <c r="B23" s="337"/>
      <c r="C23" s="337"/>
      <c r="D23" s="337"/>
      <c r="E23" s="337">
        <v>1.0</v>
      </c>
      <c r="F23" s="337" t="s">
        <v>273</v>
      </c>
      <c r="G23" s="337"/>
      <c r="H23" s="344"/>
      <c r="I23" s="344"/>
      <c r="J23" s="344">
        <v>25.0</v>
      </c>
    </row>
    <row r="24" ht="14.25" customHeight="1">
      <c r="A24" s="337" t="s">
        <v>305</v>
      </c>
      <c r="B24" s="337"/>
      <c r="C24" s="337"/>
      <c r="D24" s="337"/>
      <c r="E24" s="337">
        <v>0.1</v>
      </c>
      <c r="F24" s="337" t="s">
        <v>306</v>
      </c>
      <c r="G24" s="337"/>
      <c r="H24" s="344"/>
      <c r="I24" s="344"/>
      <c r="J24" s="344">
        <v>1210.0</v>
      </c>
    </row>
    <row r="25" ht="14.25" customHeight="1">
      <c r="A25" s="337" t="s">
        <v>307</v>
      </c>
      <c r="B25" s="337"/>
      <c r="C25" s="337"/>
      <c r="D25" s="337"/>
      <c r="E25" s="337">
        <v>0.1</v>
      </c>
      <c r="F25" s="337" t="s">
        <v>308</v>
      </c>
      <c r="G25" s="337"/>
      <c r="H25" s="344"/>
      <c r="I25" s="344"/>
      <c r="J25" s="344">
        <v>350.0</v>
      </c>
    </row>
    <row r="26" ht="14.25" customHeight="1">
      <c r="A26" s="337" t="s">
        <v>309</v>
      </c>
      <c r="B26" s="337"/>
      <c r="C26" s="337"/>
      <c r="D26" s="337"/>
      <c r="E26" s="337">
        <v>4.0</v>
      </c>
      <c r="F26" s="337" t="s">
        <v>310</v>
      </c>
      <c r="G26" s="337"/>
      <c r="H26" s="344"/>
      <c r="I26" s="344"/>
      <c r="J26" s="344">
        <v>225.0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F1"/>
    <mergeCell ref="B2:F2"/>
    <mergeCell ref="A6:J6"/>
    <mergeCell ref="A9:J9"/>
    <mergeCell ref="A12:J12"/>
    <mergeCell ref="A14:J14"/>
    <mergeCell ref="B21:D21"/>
    <mergeCell ref="A22:J2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2019-12-18T08:31:00Z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WorkbookGuid">
    <vt:lpwstr>f01af5f1-a008-41a8-bb9a-3f41f302caaa</vt:lpwstr>
  </property>
  <property fmtid="{D5CDD505-2E9C-101B-9397-08002B2CF9AE}" pid="4" name="ICV">
    <vt:lpwstr>F5F38D1A956C48CAA9E91AFED3D97DB6_13</vt:lpwstr>
  </property>
</Properties>
</file>