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8_{98E3C532-8B96-104A-9E98-08991374FB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DCC" sheetId="7" r:id="rId1"/>
    <sheet name="JAMES SERRANO" sheetId="1" r:id="rId2"/>
    <sheet name="SALES WORK SHEET FORM (2)" sheetId="6" r:id="rId3"/>
    <sheet name="data" sheetId="2" r:id="rId4"/>
    <sheet name="Sheet1" sheetId="4" r:id="rId5"/>
    <sheet name="Sheet2" sheetId="5" r:id="rId6"/>
  </sheets>
  <definedNames>
    <definedName name="_xlnm._FilterDatabase" localSheetId="3" hidden="1">data!#REF!</definedName>
    <definedName name="_xlnm.Print_Area" localSheetId="0">CDCC!$A$1:$T$54</definedName>
    <definedName name="_xlnm.Print_Area" localSheetId="1">'JAMES SERRANO'!$A$1:$T$54</definedName>
    <definedName name="_xlnm.Print_Area" localSheetId="2">'SALES WORK SHEET FORM (2)'!$A$1:$T$54</definedName>
    <definedName name="_xlnm.Print_Area" localSheetId="4">Sheet1!$A$1:$H$30</definedName>
    <definedName name="sales">data!$B$2:$B$8</definedName>
    <definedName name="segment">data!$A$2:$A$14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7" l="1"/>
  <c r="A41" i="7"/>
  <c r="A29" i="7"/>
  <c r="A30" i="7"/>
  <c r="A31" i="7"/>
  <c r="A32" i="7"/>
  <c r="A33" i="7"/>
  <c r="A34" i="7"/>
  <c r="A35" i="7"/>
  <c r="R20" i="7"/>
  <c r="R42" i="7"/>
  <c r="R20" i="6"/>
  <c r="R42" i="6"/>
  <c r="A40" i="6"/>
  <c r="A41" i="6"/>
  <c r="A29" i="6"/>
  <c r="A30" i="6"/>
  <c r="A31" i="6"/>
  <c r="A32" i="6"/>
  <c r="A33" i="6"/>
  <c r="A34" i="6"/>
  <c r="A35" i="6"/>
  <c r="A40" i="1"/>
  <c r="A41" i="1"/>
  <c r="A29" i="1"/>
  <c r="A30" i="1"/>
  <c r="A31" i="1"/>
  <c r="A32" i="1"/>
  <c r="A33" i="1"/>
  <c r="A34" i="1"/>
  <c r="A35" i="1"/>
  <c r="R23" i="1"/>
  <c r="R20" i="1"/>
  <c r="R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 Cuartina</author>
    <author>Lenovo</author>
  </authors>
  <commentList>
    <comment ref="R9" authorId="0" shapeId="0" xr:uid="{61D2B585-B2D4-40DC-8064-8942BE3A0AA0}">
      <text>
        <r>
          <rPr>
            <b/>
            <sz val="10"/>
            <rFont val="Tahoma"/>
            <family val="2"/>
          </rPr>
          <t>Leo Cuartina:</t>
        </r>
        <r>
          <rPr>
            <sz val="10"/>
            <rFont val="Tahoma"/>
            <family val="2"/>
          </rPr>
          <t xml:space="preserve">
CREDIT APPROVAL FORM NUMBER (REF #)</t>
        </r>
      </text>
    </comment>
    <comment ref="R10" authorId="0" shapeId="0" xr:uid="{B90454DC-DD99-448D-AFF4-5CE1BC19A848}">
      <text>
        <r>
          <rPr>
            <b/>
            <sz val="10"/>
            <rFont val="Tahoma"/>
            <family val="2"/>
          </rPr>
          <t>Leo Cuartina:</t>
        </r>
        <r>
          <rPr>
            <sz val="10"/>
            <rFont val="Tahoma"/>
            <family val="2"/>
          </rPr>
          <t xml:space="preserve">
SPECIAL SALAES ASSISTANCE REFERENCE NO.</t>
        </r>
      </text>
    </comment>
    <comment ref="B51" authorId="1" shapeId="0" xr:uid="{79EE08E1-2C26-49A0-9E4F-E55069F2B9BE}">
      <text>
        <r>
          <rPr>
            <b/>
            <sz val="9"/>
            <rFont val="Tahoma"/>
            <family val="2"/>
          </rPr>
          <t>Lenovo:</t>
        </r>
        <r>
          <rPr>
            <sz val="9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 Cuartina</author>
    <author>Lenovo</author>
  </authors>
  <commentList>
    <comment ref="R9" authorId="0" shapeId="0" xr:uid="{00000000-0006-0000-0000-000001000000}">
      <text>
        <r>
          <rPr>
            <b/>
            <sz val="10"/>
            <rFont val="Tahoma"/>
            <family val="2"/>
          </rPr>
          <t>Leo Cuartina:</t>
        </r>
        <r>
          <rPr>
            <sz val="10"/>
            <rFont val="Tahoma"/>
            <family val="2"/>
          </rPr>
          <t xml:space="preserve">
CREDIT APPROVAL FORM NUMBER (REF #)</t>
        </r>
      </text>
    </comment>
    <comment ref="R10" authorId="0" shapeId="0" xr:uid="{00000000-0006-0000-0000-000002000000}">
      <text>
        <r>
          <rPr>
            <b/>
            <sz val="10"/>
            <rFont val="Tahoma"/>
            <family val="2"/>
          </rPr>
          <t>Leo Cuartina:</t>
        </r>
        <r>
          <rPr>
            <sz val="10"/>
            <rFont val="Tahoma"/>
            <family val="2"/>
          </rPr>
          <t xml:space="preserve">
SPECIAL SALAES ASSISTANCE REFERENCE NO.</t>
        </r>
      </text>
    </comment>
    <comment ref="B51" authorId="1" shapeId="0" xr:uid="{00000000-0006-0000-0000-000003000000}">
      <text>
        <r>
          <rPr>
            <b/>
            <sz val="9"/>
            <rFont val="Tahoma"/>
            <family val="2"/>
          </rPr>
          <t>Lenovo:</t>
        </r>
        <r>
          <rPr>
            <sz val="9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 Cuartina</author>
    <author>Lenovo</author>
  </authors>
  <commentList>
    <comment ref="R9" authorId="0" shapeId="0" xr:uid="{00000000-0006-0000-0100-000001000000}">
      <text>
        <r>
          <rPr>
            <b/>
            <sz val="10"/>
            <rFont val="Tahoma"/>
            <family val="2"/>
          </rPr>
          <t>Leo Cuartina:</t>
        </r>
        <r>
          <rPr>
            <sz val="10"/>
            <rFont val="Tahoma"/>
            <family val="2"/>
          </rPr>
          <t xml:space="preserve">
CREDIT APPROVAL FORM NUMBER (REF #)</t>
        </r>
      </text>
    </comment>
    <comment ref="R10" authorId="0" shapeId="0" xr:uid="{00000000-0006-0000-0100-000002000000}">
      <text>
        <r>
          <rPr>
            <b/>
            <sz val="10"/>
            <rFont val="Tahoma"/>
            <family val="2"/>
          </rPr>
          <t>Leo Cuartina:</t>
        </r>
        <r>
          <rPr>
            <sz val="10"/>
            <rFont val="Tahoma"/>
            <family val="2"/>
          </rPr>
          <t xml:space="preserve">
SPECIAL SALAES ASSISTANCE REFERENCE NO.</t>
        </r>
      </text>
    </comment>
    <comment ref="B51" authorId="1" shapeId="0" xr:uid="{00000000-0006-0000-0100-000003000000}">
      <text>
        <r>
          <rPr>
            <b/>
            <sz val="9"/>
            <rFont val="Tahoma"/>
            <family val="2"/>
          </rPr>
          <t>Lenovo:</t>
        </r>
        <r>
          <rPr>
            <sz val="9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<sst xmlns="http://schemas.openxmlformats.org/spreadsheetml/2006/main" count="465" uniqueCount="196">
  <si>
    <t xml:space="preserve">SALES WORKSHEET No. </t>
  </si>
  <si>
    <t xml:space="preserve">Sales Person </t>
  </si>
  <si>
    <t>LICEBEL BERNARDO</t>
  </si>
  <si>
    <t>Date:</t>
  </si>
  <si>
    <t xml:space="preserve">Customer Name: </t>
  </si>
  <si>
    <t xml:space="preserve">Type of Sale: </t>
  </si>
  <si>
    <t>GOODS</t>
  </si>
  <si>
    <t>LOOSE SUPPLY</t>
  </si>
  <si>
    <t>INSTALLATION</t>
  </si>
  <si>
    <t>OTHERS</t>
  </si>
  <si>
    <t xml:space="preserve">Address: </t>
  </si>
  <si>
    <t xml:space="preserve">Payment Terms:   </t>
  </si>
  <si>
    <t>100% Full Payment upon delivery</t>
  </si>
  <si>
    <t>Tin Number:</t>
  </si>
  <si>
    <t>Contract Amount:</t>
  </si>
  <si>
    <t>Customer PO# :</t>
  </si>
  <si>
    <t>PO Date :</t>
  </si>
  <si>
    <t>QUOTATION #</t>
  </si>
  <si>
    <t>Project Name:</t>
  </si>
  <si>
    <t>Leadtime/Target Completion Date:</t>
  </si>
  <si>
    <t xml:space="preserve">Location: </t>
  </si>
  <si>
    <t xml:space="preserve">Penalty Clause:  </t>
  </si>
  <si>
    <t>N</t>
  </si>
  <si>
    <t xml:space="preserve">(Y / N )   </t>
  </si>
  <si>
    <t>Details</t>
  </si>
  <si>
    <t>50% Downpayment, 50% upon completion</t>
  </si>
  <si>
    <t xml:space="preserve">Insurance required: </t>
  </si>
  <si>
    <t>Type</t>
  </si>
  <si>
    <t xml:space="preserve">Contact Persons: </t>
  </si>
  <si>
    <t>POWER4ALL</t>
  </si>
  <si>
    <t>UNION GALVASTEEL CORP.</t>
  </si>
  <si>
    <t>Contact Number:</t>
  </si>
  <si>
    <t>7F ESTANCIA WEST WING CAPITOL COMMONS MERALCO AVE. PASIG CITY</t>
  </si>
  <si>
    <t>3rd Floor, Phinma Plaza 39 Plaza Drive Rockwell Center Makati City</t>
  </si>
  <si>
    <t>Deliver/Ship to:</t>
  </si>
  <si>
    <t xml:space="preserve">Mode of Shipment:  </t>
  </si>
  <si>
    <t xml:space="preserve">BOAT     </t>
  </si>
  <si>
    <t xml:space="preserve">         LCL</t>
  </si>
  <si>
    <t>CONTAINER</t>
  </si>
  <si>
    <t>TRUCK</t>
  </si>
  <si>
    <t xml:space="preserve">     OTHERS</t>
  </si>
  <si>
    <t>008-577-112-000</t>
  </si>
  <si>
    <t xml:space="preserve">Market Segment: </t>
  </si>
  <si>
    <t>RFQ - MWC - WATER TREATMENT PLANT</t>
  </si>
  <si>
    <t>RFQ - GENPACCO INC. - CT AND DC PANELBOARDS</t>
  </si>
  <si>
    <r>
      <rPr>
        <b/>
        <sz val="12"/>
        <rFont val="Arial Narrow"/>
        <charset val="134"/>
      </rPr>
      <t>SPECIAL INSTRUCTIONS:</t>
    </r>
    <r>
      <rPr>
        <sz val="12"/>
        <rFont val="Arial Narrow"/>
        <charset val="134"/>
      </rPr>
      <t xml:space="preserve"> </t>
    </r>
  </si>
  <si>
    <t>Cardona Rizal</t>
  </si>
  <si>
    <t>4025 Cabuyao Laguna</t>
  </si>
  <si>
    <t>Item</t>
  </si>
  <si>
    <t>ITEM CODE</t>
  </si>
  <si>
    <t xml:space="preserve">DESCRIPTION </t>
  </si>
  <si>
    <t>QTY</t>
  </si>
  <si>
    <t>UNIT</t>
  </si>
  <si>
    <t>UNIT PRICE</t>
  </si>
  <si>
    <t>TOTAL AMOUNT</t>
  </si>
  <si>
    <t>Sales Engineer</t>
  </si>
  <si>
    <t>Ma'am Katrina Dasoy</t>
  </si>
  <si>
    <t>Ma'am Myka Verzosa</t>
  </si>
  <si>
    <t>Chito F. Borja</t>
  </si>
  <si>
    <t>Tony Tuñacao</t>
  </si>
  <si>
    <t>0966 944 8352</t>
  </si>
  <si>
    <t>0917 116 7976</t>
  </si>
  <si>
    <t>Dennis O. Alamario</t>
  </si>
  <si>
    <t>Macky Castillo</t>
  </si>
  <si>
    <t>7F Unit 706 West Wing Estancia Offices</t>
  </si>
  <si>
    <t>Jun G. Velasco</t>
  </si>
  <si>
    <t>Aileen De Jesus</t>
  </si>
  <si>
    <t>Meralco Ave. Capitol Pasig City 1603</t>
  </si>
  <si>
    <t>Annie Mapua</t>
  </si>
  <si>
    <t>KYKISH ENTERPRISE</t>
  </si>
  <si>
    <t>Leonardo C. Cuartina Jr.</t>
  </si>
  <si>
    <t>CFB  /  JUN M. / A.M.T</t>
  </si>
  <si>
    <t>346 Villa Verde Avenue Villa Verde Subdivision Barangay Sta Monica Novaliches Quezon City</t>
  </si>
  <si>
    <t>178-467-494-000</t>
  </si>
  <si>
    <t>Jay Naceno</t>
  </si>
  <si>
    <t>PANELBOARDS (ENCLOSURE ONLY)</t>
  </si>
  <si>
    <t>Grace Villapando</t>
  </si>
  <si>
    <t>0919 065 9724</t>
  </si>
  <si>
    <t xml:space="preserve">346 Villa Verde Avenue Villa Verde Subdivision </t>
  </si>
  <si>
    <t>Barangay Sta Monica Novaliches Quezon City</t>
  </si>
  <si>
    <t>F&amp;JM ELECTRICAL CONTRACTOR COMPANY</t>
  </si>
  <si>
    <t>28 Zigzag Hills, Malhakan Meycauayan Bulacan, 3020</t>
  </si>
  <si>
    <t>647 - 275 - 8434</t>
  </si>
  <si>
    <t>RFQ - PULLBOX</t>
  </si>
  <si>
    <t>Ma'am Aubrey</t>
  </si>
  <si>
    <t>ATTACHMENTS:</t>
  </si>
  <si>
    <t xml:space="preserve"> </t>
  </si>
  <si>
    <t>GRAND TOTAL :</t>
  </si>
  <si>
    <t>0945 370 7126</t>
  </si>
  <si>
    <t>Prepared by (SE):</t>
  </si>
  <si>
    <t>PGH Ermita, Manila</t>
  </si>
  <si>
    <t>0424- 00084</t>
  </si>
  <si>
    <t>Pump House, Ermita, Manila, 1000 Metro Manila</t>
  </si>
  <si>
    <t>Checked by (SM):</t>
  </si>
  <si>
    <t>REMARKS:</t>
  </si>
  <si>
    <t>Checked by (JRC):</t>
  </si>
  <si>
    <t xml:space="preserve">20% Margin </t>
  </si>
  <si>
    <t>Noted by (ACCTG):</t>
  </si>
  <si>
    <t>with 3% indirect cost</t>
  </si>
  <si>
    <t>Noted by (ENGG):</t>
  </si>
  <si>
    <t>1.5 delivery fee</t>
  </si>
  <si>
    <t>ASAP</t>
  </si>
  <si>
    <t>Approved by (JGV):</t>
  </si>
  <si>
    <t>FO-55 (06 AUGUST 2025)</t>
  </si>
  <si>
    <t>1% allowance</t>
  </si>
  <si>
    <t>Mar. 4, 2026</t>
  </si>
  <si>
    <t>QTN SERVED AS PO</t>
  </si>
  <si>
    <t>RFQ - REPLACEMENT OF BUSBAR (26024)</t>
  </si>
  <si>
    <t>346 Villa Verde Avenue Villa Verde Subdivision</t>
  </si>
  <si>
    <t>BUSBAR FOR PP1</t>
  </si>
  <si>
    <t>assy</t>
  </si>
  <si>
    <t>1/4" x 1" - Copper Busbar rating 250A 2 PLY</t>
  </si>
  <si>
    <t>1/4" x 1/2" - Copper Busbar rating 125A  4 PLY</t>
  </si>
  <si>
    <t>Market Segment</t>
  </si>
  <si>
    <t>BPOs / data Centres</t>
  </si>
  <si>
    <t>JOSEPH CARPIO</t>
  </si>
  <si>
    <t>Commercial &amp; Retail Building</t>
  </si>
  <si>
    <t>RICHARD BERMUDEZ</t>
  </si>
  <si>
    <t>High rise, residential condo and office condo</t>
  </si>
  <si>
    <t>DON DON LOGRONIO</t>
  </si>
  <si>
    <t>Hospitals - high end</t>
  </si>
  <si>
    <t>JOE MARI GALLARDO</t>
  </si>
  <si>
    <t>Hotel &amp; Resort &amp; Leisure - high end</t>
  </si>
  <si>
    <t>Hotel &amp; Resort &amp; Leisure - low end</t>
  </si>
  <si>
    <t>Institutions (e.g. utilities, small hospitals)</t>
  </si>
  <si>
    <t>Manufacturing - high end (for export)</t>
  </si>
  <si>
    <t>Manufacturing - low end</t>
  </si>
  <si>
    <t>Mining</t>
  </si>
  <si>
    <t>Telecom &amp; Media</t>
  </si>
  <si>
    <t>Transportation &amp; Logistics</t>
  </si>
  <si>
    <t>Trader</t>
  </si>
  <si>
    <t>ANNEX A: PAYMENT / BILLING PROCESS FLOW</t>
  </si>
  <si>
    <t>STAGE 1</t>
  </si>
  <si>
    <t>STAGE 2</t>
  </si>
  <si>
    <t>Stage 3</t>
  </si>
  <si>
    <t>ENDORSEMENT</t>
  </si>
  <si>
    <t>APPROVAL</t>
  </si>
  <si>
    <t>COLLECTION</t>
  </si>
  <si>
    <t>OWNER (Job Site)</t>
  </si>
  <si>
    <t>UNIBAG MANUFACTURING CORP. / WAREHOUSE</t>
  </si>
  <si>
    <t>Owner (Head Office)</t>
  </si>
  <si>
    <t>UNIBAG MANUFACTURING CORP.</t>
  </si>
  <si>
    <t>Address:</t>
  </si>
  <si>
    <t>Iglesia ni Cristo Street, Marilao, Bulacan</t>
  </si>
  <si>
    <t>Suite 1401 Centerpoint, Julia Vargas Avenue corner</t>
  </si>
  <si>
    <t>Garnet Road, Ortigas Center, Pasig City</t>
  </si>
  <si>
    <t>Contact Person (1):</t>
  </si>
  <si>
    <t>Mr. Arnold Miranda</t>
  </si>
  <si>
    <t>Mr. Camino Benedicto</t>
  </si>
  <si>
    <t>Ms. Elsa Diokno</t>
  </si>
  <si>
    <t>Designation:</t>
  </si>
  <si>
    <t>Warehouse Supervisor</t>
  </si>
  <si>
    <t>President</t>
  </si>
  <si>
    <t>Accounting</t>
  </si>
  <si>
    <t>Role:</t>
  </si>
  <si>
    <t>Primary Signatory</t>
  </si>
  <si>
    <t>Approver</t>
  </si>
  <si>
    <t>Endorser</t>
  </si>
  <si>
    <t>Contact Person (2):</t>
  </si>
  <si>
    <t>Mr. Jonathan Yamomo</t>
  </si>
  <si>
    <t>Mr. Roger Moleta</t>
  </si>
  <si>
    <t>Secondary Signatory</t>
  </si>
  <si>
    <t>Purchaser</t>
  </si>
  <si>
    <t>Requisite Documents:</t>
  </si>
  <si>
    <t xml:space="preserve">1. Delivery Receipt </t>
  </si>
  <si>
    <t>2. Accomplishment Report</t>
  </si>
  <si>
    <t>Contact Person (3):</t>
  </si>
  <si>
    <t>Remarks:</t>
  </si>
  <si>
    <t>1.  Both documents should be signed by both signatory</t>
  </si>
  <si>
    <t xml:space="preserve">1. Signed DR and or works accomplishment report </t>
  </si>
  <si>
    <t>1. Official Receipt (OR)</t>
  </si>
  <si>
    <t>from "Job site" signatories.</t>
  </si>
  <si>
    <t>2.  Statement of account / proforma Invoice</t>
  </si>
  <si>
    <t xml:space="preserve">3.  Sales invoice </t>
  </si>
  <si>
    <t xml:space="preserve">Remarks: </t>
  </si>
  <si>
    <t>JAMES SERRANO</t>
  </si>
  <si>
    <t>RFQ - MCB AND MDP</t>
  </si>
  <si>
    <t>0932 862 8187</t>
  </si>
  <si>
    <t>JULY 8, 2026</t>
  </si>
  <si>
    <t>100% Full Payment before delivery</t>
  </si>
  <si>
    <t>QTN SERVES AS PO</t>
  </si>
  <si>
    <t>Jul. 8, 2026</t>
  </si>
  <si>
    <t>MCB-250A: @230V, NEMA-3R, SURFACE MOUNTED</t>
  </si>
  <si>
    <t>MDP-250A: @230V, NEMA-3R, SURFACE MOUNTED</t>
  </si>
  <si>
    <t>ASSY</t>
  </si>
  <si>
    <t xml:space="preserve">20.6% Margin </t>
  </si>
  <si>
    <t>CDCC</t>
  </si>
  <si>
    <t>108-160-999</t>
  </si>
  <si>
    <t>3 Tyler St.North Greenhills San Juan City</t>
  </si>
  <si>
    <t>RFQ - MONTE ALEGRE - BREAKER SWITCH</t>
  </si>
  <si>
    <t>Ma'am Roslyn Sarsalejo</t>
  </si>
  <si>
    <t>0921 862 4311</t>
  </si>
  <si>
    <t>MetroTowne Las Pinas</t>
  </si>
  <si>
    <t>July 8, 2026</t>
  </si>
  <si>
    <t>July 10, 2026</t>
  </si>
  <si>
    <t xml:space="preserve">23% Margin , 10% delivery fee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</si>
</sst>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0;[Red]0"/>
    <numFmt numFmtId="166" formatCode="00000"/>
    <numFmt numFmtId="167" formatCode="[$-409]dd\-mmm\-yy;@"/>
    <numFmt numFmtId="168" formatCode="[$-409]mmmm\ d\,\ yyyy;@"/>
    <numFmt numFmtId="169" formatCode="_-[$₱-3409]* #,##0.00_-;\-[$₱-3409]* #,##0.00_-;_-[$₱-3409]* &quot;-&quot;??_-;_-@_-"/>
  </numFmts>
  <fonts count="46" x14ac:knownFonts="1">
    <font>
      <sz val="10"/>
      <name val="Arial"/>
      <charset val="134"/>
    </font>
    <font>
      <b/>
      <u/>
      <sz val="10"/>
      <name val="Arial Narrow"/>
      <charset val="134"/>
    </font>
    <font>
      <sz val="10"/>
      <name val="Arial Narrow"/>
      <charset val="134"/>
    </font>
    <font>
      <b/>
      <sz val="10"/>
      <name val="Arial Narrow"/>
      <charset val="134"/>
    </font>
    <font>
      <b/>
      <sz val="10"/>
      <name val="Arial"/>
      <charset val="134"/>
    </font>
    <font>
      <sz val="12"/>
      <name val="Arial Narrow"/>
      <charset val="134"/>
    </font>
    <font>
      <sz val="14"/>
      <name val="Arial Narrow"/>
      <charset val="134"/>
    </font>
    <font>
      <sz val="11"/>
      <name val="Arial Narrow"/>
      <charset val="134"/>
    </font>
    <font>
      <b/>
      <sz val="9"/>
      <name val="Arial Narrow"/>
      <charset val="134"/>
    </font>
    <font>
      <b/>
      <sz val="16"/>
      <name val="Arial Narrow"/>
      <charset val="134"/>
    </font>
    <font>
      <b/>
      <sz val="11"/>
      <color rgb="FF000000"/>
      <name val="Arial"/>
      <charset val="134"/>
    </font>
    <font>
      <b/>
      <sz val="14"/>
      <name val="Arial Narrow"/>
      <charset val="134"/>
    </font>
    <font>
      <b/>
      <sz val="12"/>
      <name val="Arial Narrow"/>
      <charset val="134"/>
    </font>
    <font>
      <b/>
      <sz val="8"/>
      <name val="Arial Narrow"/>
      <charset val="134"/>
    </font>
    <font>
      <sz val="11"/>
      <color rgb="FF080809"/>
      <name val="Segoe UI Historic"/>
      <charset val="134"/>
    </font>
    <font>
      <sz val="12"/>
      <name val="Arial"/>
      <charset val="134"/>
    </font>
    <font>
      <b/>
      <sz val="14"/>
      <color theme="1"/>
      <name val="Arial Narrow"/>
      <charset val="134"/>
    </font>
    <font>
      <sz val="10"/>
      <name val="Calibri"/>
      <charset val="134"/>
      <scheme val="minor"/>
    </font>
    <font>
      <b/>
      <sz val="11"/>
      <name val="Arial Narrow"/>
      <charset val="134"/>
    </font>
    <font>
      <sz val="9"/>
      <name val="Arial Narrow"/>
      <charset val="134"/>
    </font>
    <font>
      <b/>
      <sz val="16"/>
      <name val="Arial"/>
      <charset val="134"/>
    </font>
    <font>
      <b/>
      <sz val="18"/>
      <name val="Arial Narrow"/>
      <charset val="134"/>
    </font>
    <font>
      <sz val="16"/>
      <name val="Arial Narrow"/>
      <charset val="134"/>
    </font>
    <font>
      <b/>
      <sz val="11"/>
      <color indexed="10"/>
      <name val="Arial Narrow"/>
      <charset val="134"/>
    </font>
    <font>
      <b/>
      <sz val="10"/>
      <color theme="1"/>
      <name val="Arial Narrow"/>
      <charset val="134"/>
    </font>
    <font>
      <b/>
      <sz val="12"/>
      <color theme="1"/>
      <name val="Arial Narrow"/>
      <charset val="134"/>
    </font>
    <font>
      <b/>
      <sz val="10"/>
      <color theme="1"/>
      <name val="Arial"/>
      <charset val="134"/>
    </font>
    <font>
      <b/>
      <sz val="8"/>
      <color theme="1"/>
      <name val="Arial Narrow"/>
      <charset val="134"/>
    </font>
    <font>
      <sz val="11"/>
      <color rgb="FF080809"/>
      <name val="Quattrocento Sans"/>
      <charset val="134"/>
    </font>
    <font>
      <sz val="12"/>
      <color theme="1"/>
      <name val="Arial"/>
      <charset val="134"/>
    </font>
    <font>
      <sz val="11"/>
      <color theme="1"/>
      <name val="Arial Narrow"/>
      <charset val="134"/>
    </font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0"/>
      <name val="Tahoma"/>
      <family val="2"/>
    </font>
    <font>
      <sz val="10"/>
      <name val="Tahoma"/>
      <family val="2"/>
    </font>
    <font>
      <b/>
      <sz val="9"/>
      <name val="Tahoma"/>
      <family val="2"/>
    </font>
    <font>
      <sz val="9"/>
      <name val="Tahoma"/>
      <family val="2"/>
    </font>
    <font>
      <b/>
      <sz val="11"/>
      <color rgb="FF000000"/>
      <name val="Arial"/>
      <family val="2"/>
    </font>
    <font>
      <b/>
      <sz val="10"/>
      <name val="Arial"/>
      <family val="2"/>
    </font>
    <font>
      <sz val="11"/>
      <color rgb="FF080809"/>
      <name val="Segoe UI Historic"/>
      <family val="2"/>
    </font>
    <font>
      <sz val="12"/>
      <name val="Arial"/>
      <family val="2"/>
    </font>
    <font>
      <b/>
      <sz val="12"/>
      <name val="Arial Narrow"/>
      <family val="2"/>
    </font>
    <font>
      <sz val="10"/>
      <name val="Arial Narrow"/>
      <family val="2"/>
    </font>
    <font>
      <b/>
      <sz val="11"/>
      <name val="Arial Narrow"/>
      <family val="2"/>
    </font>
    <font>
      <b/>
      <sz val="14"/>
      <color theme="1"/>
      <name val="Arial Narrow"/>
      <family val="2"/>
    </font>
    <font>
      <sz val="14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85961485641044"/>
        <bgColor indexed="64"/>
      </patternFill>
    </fill>
    <fill>
      <patternFill patternType="solid">
        <fgColor theme="6" tint="0.39985351115451523"/>
        <bgColor indexed="64"/>
      </patternFill>
    </fill>
    <fill>
      <patternFill patternType="solid">
        <fgColor theme="6" tint="0.799859614856410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249977111117893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43" fontId="31" fillId="0" borderId="0" applyFont="0" applyFill="0" applyBorder="0" applyAlignment="0" applyProtection="0">
      <alignment vertical="center"/>
    </xf>
    <xf numFmtId="164" fontId="32" fillId="0" borderId="0" applyFont="0" applyFill="0" applyBorder="0" applyAlignment="0" applyProtection="0"/>
  </cellStyleXfs>
  <cellXfs count="25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3" xfId="0" applyFont="1" applyBorder="1"/>
    <xf numFmtId="0" fontId="3" fillId="0" borderId="4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7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2" fillId="0" borderId="9" xfId="0" applyFont="1" applyBorder="1"/>
    <xf numFmtId="0" fontId="3" fillId="0" borderId="10" xfId="0" applyFont="1" applyBorder="1" applyAlignment="1">
      <alignment horizontal="left"/>
    </xf>
    <xf numFmtId="0" fontId="7" fillId="0" borderId="11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0" fillId="0" borderId="0" xfId="0" applyFont="1"/>
    <xf numFmtId="165" fontId="9" fillId="0" borderId="12" xfId="0" applyNumberFormat="1" applyFont="1" applyBorder="1" applyAlignment="1">
      <alignment vertical="center"/>
    </xf>
    <xf numFmtId="0" fontId="11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left"/>
    </xf>
    <xf numFmtId="0" fontId="3" fillId="0" borderId="13" xfId="0" applyFont="1" applyBorder="1" applyAlignment="1">
      <alignment horizontal="left" vertical="center"/>
    </xf>
    <xf numFmtId="0" fontId="12" fillId="0" borderId="13" xfId="0" applyFont="1" applyBorder="1" applyAlignment="1">
      <alignment horizontal="left" vertical="center"/>
    </xf>
    <xf numFmtId="0" fontId="3" fillId="0" borderId="14" xfId="0" applyFont="1" applyBorder="1" applyAlignment="1">
      <alignment horizontal="center"/>
    </xf>
    <xf numFmtId="0" fontId="2" fillId="0" borderId="0" xfId="0" applyFont="1" applyAlignment="1">
      <alignment horizontal="left" vertical="center"/>
    </xf>
    <xf numFmtId="0" fontId="7" fillId="0" borderId="11" xfId="0" applyFont="1" applyBorder="1"/>
    <xf numFmtId="0" fontId="2" fillId="0" borderId="13" xfId="0" applyFont="1" applyBorder="1"/>
    <xf numFmtId="0" fontId="9" fillId="0" borderId="13" xfId="0" applyFont="1" applyBorder="1" applyAlignment="1">
      <alignment vertical="center"/>
    </xf>
    <xf numFmtId="0" fontId="2" fillId="0" borderId="14" xfId="0" applyFont="1" applyBorder="1" applyAlignment="1">
      <alignment horizontal="center"/>
    </xf>
    <xf numFmtId="0" fontId="3" fillId="0" borderId="0" xfId="0" applyFont="1" applyAlignment="1">
      <alignment horizontal="left" vertical="center"/>
    </xf>
    <xf numFmtId="0" fontId="13" fillId="0" borderId="13" xfId="0" applyFont="1" applyBorder="1" applyAlignment="1">
      <alignment horizontal="left" vertical="center"/>
    </xf>
    <xf numFmtId="0" fontId="12" fillId="0" borderId="13" xfId="0" applyFont="1" applyBorder="1" applyAlignment="1">
      <alignment vertical="center"/>
    </xf>
    <xf numFmtId="0" fontId="13" fillId="0" borderId="0" xfId="0" applyFont="1" applyAlignment="1">
      <alignment horizontal="left" vertical="center" wrapText="1"/>
    </xf>
    <xf numFmtId="0" fontId="14" fillId="0" borderId="0" xfId="0" applyFont="1"/>
    <xf numFmtId="0" fontId="11" fillId="0" borderId="13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166" fontId="12" fillId="0" borderId="13" xfId="0" applyNumberFormat="1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top"/>
    </xf>
    <xf numFmtId="0" fontId="3" fillId="0" borderId="13" xfId="0" applyFont="1" applyBorder="1" applyAlignment="1">
      <alignment vertical="center"/>
    </xf>
    <xf numFmtId="0" fontId="7" fillId="0" borderId="13" xfId="0" applyFont="1" applyBorder="1" applyAlignment="1">
      <alignment horizontal="left" vertical="center" wrapText="1"/>
    </xf>
    <xf numFmtId="0" fontId="9" fillId="0" borderId="12" xfId="0" applyFont="1" applyBorder="1" applyAlignment="1">
      <alignment vertical="center"/>
    </xf>
    <xf numFmtId="0" fontId="2" fillId="0" borderId="11" xfId="0" applyFont="1" applyBorder="1"/>
    <xf numFmtId="0" fontId="5" fillId="0" borderId="13" xfId="0" applyFont="1" applyBorder="1" applyAlignment="1">
      <alignment horizontal="left" vertical="center"/>
    </xf>
    <xf numFmtId="0" fontId="3" fillId="0" borderId="15" xfId="0" applyFont="1" applyBorder="1"/>
    <xf numFmtId="0" fontId="2" fillId="0" borderId="15" xfId="0" applyFont="1" applyBorder="1"/>
    <xf numFmtId="0" fontId="2" fillId="0" borderId="14" xfId="0" applyFont="1" applyBorder="1"/>
    <xf numFmtId="0" fontId="6" fillId="0" borderId="21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6" fillId="0" borderId="28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8" fillId="0" borderId="0" xfId="0" applyFont="1"/>
    <xf numFmtId="0" fontId="2" fillId="3" borderId="0" xfId="0" applyFont="1" applyFill="1" applyAlignment="1">
      <alignment vertical="center"/>
    </xf>
    <xf numFmtId="0" fontId="12" fillId="0" borderId="0" xfId="0" applyFont="1" applyAlignment="1">
      <alignment horizontal="center"/>
    </xf>
    <xf numFmtId="0" fontId="12" fillId="0" borderId="0" xfId="0" applyFont="1"/>
    <xf numFmtId="0" fontId="7" fillId="0" borderId="0" xfId="0" applyFont="1" applyAlignment="1">
      <alignment horizontal="center" vertical="center"/>
    </xf>
    <xf numFmtId="0" fontId="7" fillId="3" borderId="0" xfId="0" applyFont="1" applyFill="1" applyAlignment="1">
      <alignment vertical="center"/>
    </xf>
    <xf numFmtId="0" fontId="2" fillId="3" borderId="0" xfId="0" applyFont="1" applyFill="1"/>
    <xf numFmtId="0" fontId="3" fillId="0" borderId="0" xfId="0" applyFont="1" applyAlignment="1">
      <alignment horizontal="right" vertical="center"/>
    </xf>
    <xf numFmtId="0" fontId="8" fillId="0" borderId="0" xfId="0" applyFont="1"/>
    <xf numFmtId="0" fontId="19" fillId="0" borderId="0" xfId="0" applyFont="1"/>
    <xf numFmtId="14" fontId="18" fillId="0" borderId="0" xfId="0" applyNumberFormat="1" applyFont="1"/>
    <xf numFmtId="0" fontId="20" fillId="0" borderId="0" xfId="0" applyFont="1" applyAlignment="1">
      <alignment vertical="center"/>
    </xf>
    <xf numFmtId="49" fontId="20" fillId="0" borderId="0" xfId="0" applyNumberFormat="1" applyFont="1" applyAlignment="1">
      <alignment vertical="center"/>
    </xf>
    <xf numFmtId="0" fontId="20" fillId="0" borderId="0" xfId="0" applyFont="1" applyAlignment="1">
      <alignment horizontal="left" vertical="center"/>
    </xf>
    <xf numFmtId="0" fontId="21" fillId="0" borderId="0" xfId="0" applyFont="1" applyAlignment="1">
      <alignment vertical="center"/>
    </xf>
    <xf numFmtId="0" fontId="7" fillId="0" borderId="7" xfId="0" applyFont="1" applyBorder="1" applyAlignment="1">
      <alignment vertical="center"/>
    </xf>
    <xf numFmtId="0" fontId="7" fillId="0" borderId="8" xfId="0" applyFont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8" fillId="0" borderId="12" xfId="0" applyFont="1" applyBorder="1" applyAlignment="1">
      <alignment horizontal="left" vertical="center"/>
    </xf>
    <xf numFmtId="0" fontId="7" fillId="0" borderId="13" xfId="0" applyFont="1" applyBorder="1" applyAlignment="1">
      <alignment vertical="center"/>
    </xf>
    <xf numFmtId="0" fontId="7" fillId="0" borderId="13" xfId="0" applyFont="1" applyBorder="1" applyAlignment="1">
      <alignment horizontal="right" vertical="center"/>
    </xf>
    <xf numFmtId="4" fontId="12" fillId="0" borderId="0" xfId="0" applyNumberFormat="1" applyFont="1" applyAlignment="1">
      <alignment horizontal="left" vertical="center"/>
    </xf>
    <xf numFmtId="4" fontId="18" fillId="0" borderId="0" xfId="0" applyNumberFormat="1" applyFont="1" applyAlignment="1">
      <alignment vertical="center"/>
    </xf>
    <xf numFmtId="14" fontId="22" fillId="5" borderId="12" xfId="0" applyNumberFormat="1" applyFont="1" applyFill="1" applyBorder="1" applyAlignment="1">
      <alignment horizontal="left" vertical="center"/>
    </xf>
    <xf numFmtId="0" fontId="7" fillId="0" borderId="12" xfId="0" applyFont="1" applyBorder="1" applyAlignment="1">
      <alignment horizontal="center" vertical="center"/>
    </xf>
    <xf numFmtId="0" fontId="2" fillId="0" borderId="12" xfId="0" applyFont="1" applyBorder="1"/>
    <xf numFmtId="0" fontId="12" fillId="0" borderId="12" xfId="0" applyFont="1" applyBorder="1" applyAlignment="1">
      <alignment horizontal="center" vertical="center"/>
    </xf>
    <xf numFmtId="0" fontId="12" fillId="0" borderId="12" xfId="0" applyFont="1" applyBorder="1" applyAlignment="1">
      <alignment vertical="center"/>
    </xf>
    <xf numFmtId="0" fontId="12" fillId="0" borderId="13" xfId="0" applyFont="1" applyBorder="1" applyAlignment="1">
      <alignment horizontal="center" vertical="center"/>
    </xf>
    <xf numFmtId="167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0" borderId="0" xfId="0" applyFont="1"/>
    <xf numFmtId="0" fontId="7" fillId="0" borderId="0" xfId="0" applyFont="1" applyAlignment="1">
      <alignment horizontal="left" vertical="center"/>
    </xf>
    <xf numFmtId="0" fontId="7" fillId="0" borderId="32" xfId="0" applyFont="1" applyBorder="1" applyAlignment="1">
      <alignment vertical="center"/>
    </xf>
    <xf numFmtId="0" fontId="18" fillId="0" borderId="0" xfId="0" applyFont="1" applyAlignment="1">
      <alignment horizontal="left" vertical="center"/>
    </xf>
    <xf numFmtId="0" fontId="7" fillId="0" borderId="0" xfId="0" applyFont="1" applyAlignment="1">
      <alignment horizontal="right"/>
    </xf>
    <xf numFmtId="0" fontId="5" fillId="0" borderId="3" xfId="0" applyFont="1" applyBorder="1" applyAlignment="1">
      <alignment horizontal="left" vertical="center"/>
    </xf>
    <xf numFmtId="0" fontId="18" fillId="0" borderId="14" xfId="0" applyFont="1" applyBorder="1"/>
    <xf numFmtId="0" fontId="11" fillId="0" borderId="34" xfId="0" applyFont="1" applyBorder="1" applyAlignment="1">
      <alignment horizontal="center" vertical="center"/>
    </xf>
    <xf numFmtId="4" fontId="6" fillId="0" borderId="21" xfId="0" applyNumberFormat="1" applyFont="1" applyBorder="1" applyAlignment="1">
      <alignment horizontal="right" vertical="center"/>
    </xf>
    <xf numFmtId="4" fontId="6" fillId="0" borderId="31" xfId="0" applyNumberFormat="1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" fillId="0" borderId="20" xfId="0" applyFont="1" applyBorder="1" applyAlignment="1">
      <alignment horizontal="center" vertical="center"/>
    </xf>
    <xf numFmtId="0" fontId="11" fillId="2" borderId="7" xfId="0" applyFont="1" applyFill="1" applyBorder="1" applyAlignment="1">
      <alignment horizontal="left" vertical="center"/>
    </xf>
    <xf numFmtId="0" fontId="11" fillId="2" borderId="8" xfId="0" applyFont="1" applyFill="1" applyBorder="1" applyAlignment="1">
      <alignment horizontal="left" vertical="center"/>
    </xf>
    <xf numFmtId="0" fontId="2" fillId="2" borderId="11" xfId="0" applyFont="1" applyFill="1" applyBorder="1"/>
    <xf numFmtId="0" fontId="2" fillId="2" borderId="12" xfId="0" applyFont="1" applyFill="1" applyBorder="1"/>
    <xf numFmtId="0" fontId="3" fillId="0" borderId="0" xfId="0" applyFont="1" applyAlignment="1">
      <alignment horizontal="center" vertical="center"/>
    </xf>
    <xf numFmtId="0" fontId="3" fillId="2" borderId="13" xfId="0" applyFont="1" applyFill="1" applyBorder="1"/>
    <xf numFmtId="0" fontId="2" fillId="2" borderId="13" xfId="0" applyFont="1" applyFill="1" applyBorder="1"/>
    <xf numFmtId="0" fontId="3" fillId="0" borderId="0" xfId="0" applyFont="1" applyAlignment="1">
      <alignment horizontal="right"/>
    </xf>
    <xf numFmtId="0" fontId="2" fillId="2" borderId="18" xfId="0" applyFont="1" applyFill="1" applyBorder="1"/>
    <xf numFmtId="0" fontId="2" fillId="2" borderId="20" xfId="0" applyFont="1" applyFill="1" applyBorder="1"/>
    <xf numFmtId="0" fontId="2" fillId="0" borderId="0" xfId="0" applyFont="1" applyAlignment="1">
      <alignment horizontal="center"/>
    </xf>
    <xf numFmtId="0" fontId="2" fillId="0" borderId="8" xfId="0" applyFont="1" applyBorder="1"/>
    <xf numFmtId="164" fontId="18" fillId="0" borderId="14" xfId="2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167" fontId="12" fillId="0" borderId="40" xfId="0" applyNumberFormat="1" applyFont="1" applyBorder="1" applyAlignment="1">
      <alignment horizontal="left" vertical="center"/>
    </xf>
    <xf numFmtId="4" fontId="12" fillId="0" borderId="14" xfId="0" applyNumberFormat="1" applyFont="1" applyBorder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14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0" borderId="14" xfId="0" applyFont="1" applyBorder="1" applyAlignment="1">
      <alignment vertical="center"/>
    </xf>
    <xf numFmtId="0" fontId="23" fillId="0" borderId="14" xfId="0" applyFont="1" applyBorder="1" applyAlignment="1">
      <alignment horizontal="left" vertical="center"/>
    </xf>
    <xf numFmtId="0" fontId="7" fillId="0" borderId="14" xfId="0" applyFont="1" applyBorder="1" applyAlignment="1">
      <alignment vertical="center"/>
    </xf>
    <xf numFmtId="164" fontId="6" fillId="0" borderId="22" xfId="2" applyFont="1" applyBorder="1" applyAlignment="1">
      <alignment vertical="center"/>
    </xf>
    <xf numFmtId="164" fontId="6" fillId="0" borderId="23" xfId="2" applyFont="1" applyBorder="1" applyAlignment="1">
      <alignment vertical="center"/>
    </xf>
    <xf numFmtId="164" fontId="6" fillId="0" borderId="21" xfId="2" applyFont="1" applyBorder="1" applyAlignment="1">
      <alignment horizontal="center" vertical="center"/>
    </xf>
    <xf numFmtId="0" fontId="11" fillId="2" borderId="10" xfId="0" applyFont="1" applyFill="1" applyBorder="1" applyAlignment="1">
      <alignment horizontal="left" vertical="center"/>
    </xf>
    <xf numFmtId="0" fontId="2" fillId="2" borderId="40" xfId="0" applyFont="1" applyFill="1" applyBorder="1"/>
    <xf numFmtId="0" fontId="2" fillId="2" borderId="31" xfId="0" applyFont="1" applyFill="1" applyBorder="1"/>
    <xf numFmtId="0" fontId="2" fillId="2" borderId="19" xfId="0" applyFont="1" applyFill="1" applyBorder="1"/>
    <xf numFmtId="0" fontId="3" fillId="0" borderId="0" xfId="0" applyFont="1"/>
    <xf numFmtId="0" fontId="0" fillId="0" borderId="0" xfId="0" applyAlignment="1">
      <alignment vertical="center"/>
    </xf>
    <xf numFmtId="0" fontId="14" fillId="0" borderId="12" xfId="0" applyFont="1" applyBorder="1"/>
    <xf numFmtId="0" fontId="24" fillId="0" borderId="27" xfId="0" applyFont="1" applyBorder="1" applyAlignment="1">
      <alignment horizontal="left" vertical="center"/>
    </xf>
    <xf numFmtId="0" fontId="25" fillId="0" borderId="27" xfId="0" applyFont="1" applyBorder="1" applyAlignment="1">
      <alignment horizontal="left" vertical="center"/>
    </xf>
    <xf numFmtId="0" fontId="26" fillId="0" borderId="0" xfId="0" applyFont="1"/>
    <xf numFmtId="0" fontId="27" fillId="0" borderId="27" xfId="0" applyFont="1" applyBorder="1" applyAlignment="1">
      <alignment horizontal="left" vertical="center"/>
    </xf>
    <xf numFmtId="0" fontId="28" fillId="0" borderId="44" xfId="0" applyFont="1" applyBorder="1"/>
    <xf numFmtId="0" fontId="29" fillId="0" borderId="0" xfId="0" applyFont="1" applyAlignment="1">
      <alignment horizontal="left" vertical="top"/>
    </xf>
    <xf numFmtId="0" fontId="30" fillId="0" borderId="27" xfId="0" applyFont="1" applyBorder="1" applyAlignment="1">
      <alignment horizontal="left" vertical="center" wrapText="1"/>
    </xf>
    <xf numFmtId="0" fontId="37" fillId="0" borderId="0" xfId="0" applyFont="1"/>
    <xf numFmtId="0" fontId="38" fillId="0" borderId="0" xfId="0" applyFont="1"/>
    <xf numFmtId="0" fontId="14" fillId="0" borderId="13" xfId="0" applyFont="1" applyBorder="1"/>
    <xf numFmtId="0" fontId="39" fillId="0" borderId="13" xfId="0" applyFont="1" applyBorder="1"/>
    <xf numFmtId="0" fontId="40" fillId="0" borderId="0" xfId="0" applyFont="1" applyAlignment="1">
      <alignment horizontal="left" vertical="top"/>
    </xf>
    <xf numFmtId="0" fontId="42" fillId="0" borderId="0" xfId="0" applyFont="1"/>
    <xf numFmtId="4" fontId="45" fillId="0" borderId="31" xfId="0" applyNumberFormat="1" applyFont="1" applyBorder="1" applyAlignment="1">
      <alignment horizontal="center" vertical="center"/>
    </xf>
    <xf numFmtId="0" fontId="42" fillId="2" borderId="12" xfId="0" applyFont="1" applyFill="1" applyBorder="1"/>
    <xf numFmtId="0" fontId="2" fillId="0" borderId="12" xfId="0" applyFont="1" applyBorder="1" applyAlignment="1">
      <alignment horizontal="center" vertical="center"/>
    </xf>
    <xf numFmtId="0" fontId="12" fillId="0" borderId="9" xfId="0" applyFont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2" fillId="2" borderId="13" xfId="0" applyFont="1" applyFill="1" applyBorder="1" applyAlignment="1">
      <alignment horizontal="left"/>
    </xf>
    <xf numFmtId="0" fontId="2" fillId="2" borderId="31" xfId="0" applyFont="1" applyFill="1" applyBorder="1" applyAlignment="1">
      <alignment horizontal="left"/>
    </xf>
    <xf numFmtId="0" fontId="19" fillId="2" borderId="13" xfId="0" applyFont="1" applyFill="1" applyBorder="1" applyAlignment="1">
      <alignment horizontal="left" wrapText="1"/>
    </xf>
    <xf numFmtId="0" fontId="19" fillId="4" borderId="8" xfId="0" applyFont="1" applyFill="1" applyBorder="1" applyAlignment="1">
      <alignment horizontal="center" vertical="center"/>
    </xf>
    <xf numFmtId="0" fontId="19" fillId="4" borderId="10" xfId="0" applyFont="1" applyFill="1" applyBorder="1" applyAlignment="1">
      <alignment horizontal="center" vertical="center"/>
    </xf>
    <xf numFmtId="0" fontId="19" fillId="4" borderId="20" xfId="0" applyFont="1" applyFill="1" applyBorder="1" applyAlignment="1">
      <alignment horizontal="center" vertical="center"/>
    </xf>
    <xf numFmtId="0" fontId="19" fillId="4" borderId="19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9" fillId="2" borderId="13" xfId="0" applyFont="1" applyFill="1" applyBorder="1" applyAlignment="1">
      <alignment horizontal="left"/>
    </xf>
    <xf numFmtId="0" fontId="19" fillId="2" borderId="31" xfId="0" applyFont="1" applyFill="1" applyBorder="1" applyAlignment="1">
      <alignment horizontal="left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11" fillId="0" borderId="32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37" xfId="0" applyFont="1" applyBorder="1" applyAlignment="1">
      <alignment horizontal="left" vertical="center"/>
    </xf>
    <xf numFmtId="0" fontId="6" fillId="0" borderId="25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4" fontId="6" fillId="0" borderId="38" xfId="0" applyNumberFormat="1" applyFont="1" applyBorder="1" applyAlignment="1">
      <alignment horizontal="center" vertical="center"/>
    </xf>
    <xf numFmtId="4" fontId="6" fillId="0" borderId="43" xfId="0" applyNumberFormat="1" applyFont="1" applyBorder="1" applyAlignment="1">
      <alignment horizontal="center" vertical="center"/>
    </xf>
    <xf numFmtId="169" fontId="6" fillId="0" borderId="25" xfId="2" applyNumberFormat="1" applyFont="1" applyBorder="1" applyAlignment="1">
      <alignment horizontal="center" vertical="center"/>
    </xf>
    <xf numFmtId="169" fontId="6" fillId="0" borderId="13" xfId="2" applyNumberFormat="1" applyFont="1" applyBorder="1" applyAlignment="1">
      <alignment horizontal="center" vertical="center"/>
    </xf>
    <xf numFmtId="169" fontId="6" fillId="0" borderId="31" xfId="2" applyNumberFormat="1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11" fillId="0" borderId="0" xfId="0" applyFont="1" applyAlignment="1">
      <alignment horizontal="right" vertical="center"/>
    </xf>
    <xf numFmtId="0" fontId="11" fillId="0" borderId="18" xfId="0" applyFont="1" applyBorder="1" applyAlignment="1">
      <alignment horizontal="right" vertical="center"/>
    </xf>
    <xf numFmtId="0" fontId="11" fillId="0" borderId="20" xfId="0" applyFont="1" applyBorder="1" applyAlignment="1">
      <alignment horizontal="right" vertical="center"/>
    </xf>
    <xf numFmtId="0" fontId="11" fillId="0" borderId="39" xfId="0" applyFont="1" applyBorder="1" applyAlignment="1">
      <alignment horizontal="right" vertical="center"/>
    </xf>
    <xf numFmtId="0" fontId="11" fillId="0" borderId="34" xfId="0" applyFont="1" applyBorder="1" applyAlignment="1">
      <alignment horizontal="right" vertical="center"/>
    </xf>
    <xf numFmtId="169" fontId="6" fillId="6" borderId="33" xfId="2" applyNumberFormat="1" applyFont="1" applyFill="1" applyBorder="1" applyAlignment="1">
      <alignment horizontal="center" vertical="center"/>
    </xf>
    <xf numFmtId="169" fontId="6" fillId="6" borderId="39" xfId="2" applyNumberFormat="1" applyFont="1" applyFill="1" applyBorder="1" applyAlignment="1">
      <alignment horizontal="center" vertical="center"/>
    </xf>
    <xf numFmtId="169" fontId="6" fillId="6" borderId="34" xfId="2" applyNumberFormat="1" applyFont="1" applyFill="1" applyBorder="1" applyAlignment="1">
      <alignment horizontal="center" vertical="center"/>
    </xf>
    <xf numFmtId="0" fontId="11" fillId="0" borderId="25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1" fillId="0" borderId="31" xfId="0" applyFont="1" applyBorder="1" applyAlignment="1">
      <alignment horizontal="left" vertical="center"/>
    </xf>
    <xf numFmtId="4" fontId="6" fillId="0" borderId="25" xfId="0" applyNumberFormat="1" applyFont="1" applyBorder="1" applyAlignment="1">
      <alignment horizontal="center" vertical="center"/>
    </xf>
    <xf numFmtId="4" fontId="6" fillId="0" borderId="31" xfId="0" applyNumberFormat="1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4" fontId="6" fillId="0" borderId="32" xfId="0" applyNumberFormat="1" applyFont="1" applyBorder="1" applyAlignment="1">
      <alignment horizontal="center" vertical="center"/>
    </xf>
    <xf numFmtId="4" fontId="6" fillId="0" borderId="37" xfId="0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16" fillId="0" borderId="26" xfId="0" applyFont="1" applyBorder="1" applyAlignment="1">
      <alignment horizontal="left" vertical="center"/>
    </xf>
    <xf numFmtId="0" fontId="17" fillId="0" borderId="27" xfId="0" applyFont="1" applyBorder="1"/>
    <xf numFmtId="0" fontId="6" fillId="0" borderId="25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6" fillId="0" borderId="22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4" fontId="11" fillId="0" borderId="36" xfId="0" applyNumberFormat="1" applyFont="1" applyBorder="1" applyAlignment="1">
      <alignment horizontal="center" vertical="center"/>
    </xf>
    <xf numFmtId="4" fontId="11" fillId="0" borderId="42" xfId="0" applyNumberFormat="1" applyFont="1" applyBorder="1" applyAlignment="1">
      <alignment horizontal="center" vertical="center"/>
    </xf>
    <xf numFmtId="0" fontId="12" fillId="2" borderId="7" xfId="0" applyFont="1" applyFill="1" applyBorder="1" applyAlignment="1">
      <alignment horizontal="left"/>
    </xf>
    <xf numFmtId="0" fontId="12" fillId="2" borderId="8" xfId="0" applyFont="1" applyFill="1" applyBorder="1" applyAlignment="1">
      <alignment horizontal="left"/>
    </xf>
    <xf numFmtId="0" fontId="5" fillId="2" borderId="8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20" xfId="0" applyFont="1" applyBorder="1" applyAlignment="1">
      <alignment horizontal="center"/>
    </xf>
    <xf numFmtId="0" fontId="11" fillId="0" borderId="20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/>
    </xf>
    <xf numFmtId="0" fontId="18" fillId="0" borderId="34" xfId="0" applyFont="1" applyBorder="1" applyAlignment="1">
      <alignment horizontal="center"/>
    </xf>
    <xf numFmtId="0" fontId="11" fillId="6" borderId="35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11" fillId="7" borderId="33" xfId="0" applyFont="1" applyFill="1" applyBorder="1" applyAlignment="1">
      <alignment horizontal="center" vertical="center"/>
    </xf>
    <xf numFmtId="0" fontId="11" fillId="7" borderId="39" xfId="0" applyFont="1" applyFill="1" applyBorder="1" applyAlignment="1">
      <alignment horizontal="center" vertical="center"/>
    </xf>
    <xf numFmtId="0" fontId="11" fillId="7" borderId="34" xfId="0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2" fillId="0" borderId="14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0" fontId="18" fillId="0" borderId="4" xfId="0" applyFont="1" applyBorder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43" fontId="12" fillId="0" borderId="13" xfId="1" applyFont="1" applyBorder="1" applyAlignment="1">
      <alignment horizontal="left" vertical="top" wrapText="1"/>
    </xf>
    <xf numFmtId="164" fontId="12" fillId="0" borderId="0" xfId="2" applyFont="1" applyBorder="1" applyAlignment="1">
      <alignment horizontal="center" vertical="center"/>
    </xf>
    <xf numFmtId="0" fontId="18" fillId="0" borderId="1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167" fontId="12" fillId="0" borderId="12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left" vertical="center"/>
    </xf>
    <xf numFmtId="168" fontId="12" fillId="0" borderId="0" xfId="0" applyNumberFormat="1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165" fontId="9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left" vertical="center"/>
    </xf>
    <xf numFmtId="0" fontId="7" fillId="0" borderId="8" xfId="0" applyFont="1" applyBorder="1" applyAlignment="1" applyProtection="1">
      <alignment horizontal="left" vertical="center"/>
      <protection locked="0"/>
    </xf>
    <xf numFmtId="0" fontId="12" fillId="0" borderId="8" xfId="0" applyFont="1" applyBorder="1" applyAlignment="1">
      <alignment horizontal="left" vertical="center"/>
    </xf>
    <xf numFmtId="0" fontId="12" fillId="0" borderId="10" xfId="0" applyFont="1" applyBorder="1" applyAlignment="1">
      <alignment horizontal="left" vertical="center"/>
    </xf>
    <xf numFmtId="169" fontId="11" fillId="5" borderId="33" xfId="2" applyNumberFormat="1" applyFont="1" applyFill="1" applyBorder="1" applyAlignment="1">
      <alignment horizontal="center" vertical="center"/>
    </xf>
    <xf numFmtId="169" fontId="11" fillId="5" borderId="39" xfId="2" applyNumberFormat="1" applyFont="1" applyFill="1" applyBorder="1" applyAlignment="1">
      <alignment horizontal="center" vertical="center"/>
    </xf>
    <xf numFmtId="169" fontId="11" fillId="5" borderId="34" xfId="2" applyNumberFormat="1" applyFont="1" applyFill="1" applyBorder="1" applyAlignment="1">
      <alignment horizontal="center" vertical="center"/>
    </xf>
    <xf numFmtId="0" fontId="44" fillId="0" borderId="26" xfId="0" applyFont="1" applyBorder="1" applyAlignment="1">
      <alignment horizontal="left" vertical="center"/>
    </xf>
    <xf numFmtId="0" fontId="43" fillId="0" borderId="12" xfId="0" applyFont="1" applyBorder="1" applyAlignment="1">
      <alignment horizontal="left" vertical="center"/>
    </xf>
    <xf numFmtId="167" fontId="41" fillId="0" borderId="1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5" Type="http://schemas.openxmlformats.org/officeDocument/2006/relationships/worksheet" Target="worksheets/sheet5.xml" /><Relationship Id="rId10" Type="http://schemas.openxmlformats.org/officeDocument/2006/relationships/calcChain" Target="calcChain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ctrlProps/ctrlProp1.xml><?xml version="1.0" encoding="utf-8"?>
<formControlPr xmlns="http://schemas.microsoft.com/office/spreadsheetml/2009/9/main" objectType="CheckBox" checked="Checked"/>
</file>

<file path=xl/ctrlProps/ctrlProp2.xml><?xml version="1.0" encoding="utf-8"?>
<formControlPr xmlns="http://schemas.microsoft.com/office/spreadsheetml/2009/9/main" objectType="CheckBox"/>
</file>

<file path=xl/ctrlProps/ctrlProp3.xml><?xml version="1.0" encoding="utf-8"?>
<formControlPr xmlns="http://schemas.microsoft.com/office/spreadsheetml/2009/9/main" objectType="CheckBox"/>
</file>

<file path=xl/ctrlProps/ctrlProp4.xml><?xml version="1.0" encoding="utf-8"?>
<formControlPr xmlns="http://schemas.microsoft.com/office/spreadsheetml/2009/9/main" objectType="CheckBox"/>
</file>

<file path=xl/ctrlProps/ctrlProp5.xml><?xml version="1.0" encoding="utf-8"?>
<formControlPr xmlns="http://schemas.microsoft.com/office/spreadsheetml/2009/9/main" objectType="CheckBox"/>
</file>

<file path=xl/ctrlProps/ctrlProp6.xml><?xml version="1.0" encoding="utf-8"?>
<formControlPr xmlns="http://schemas.microsoft.com/office/spreadsheetml/2009/9/main" objectType="CheckBox"/>
</file>

<file path=xl/ctrlProps/ctrlProp7.xml><?xml version="1.0" encoding="utf-8"?>
<formControlPr xmlns="http://schemas.microsoft.com/office/spreadsheetml/2009/9/main" objectType="CheckBox"/>
</file>

<file path=xl/ctrlProps/ctrlProp8.xml><?xml version="1.0" encoding="utf-8"?>
<formControlPr xmlns="http://schemas.microsoft.com/office/spreadsheetml/2009/9/main" objectType="CheckBox"/>
</file>

<file path=xl/ctrlProps/ctrlProp9.xml><?xml version="1.0" encoding="utf-8"?>
<formControlPr xmlns="http://schemas.microsoft.com/office/spreadsheetml/2009/9/main" objectType="CheckBox"/>
</file>

<file path=xl/ctrlProps/ctrlProp10.xml><?xml version="1.0" encoding="utf-8"?>
<formControlPr xmlns="http://schemas.microsoft.com/office/spreadsheetml/2009/9/main" objectType="CheckBox"/>
</file>

<file path=xl/ctrlProps/ctrlProp11.xml><?xml version="1.0" encoding="utf-8"?>
<formControlPr xmlns="http://schemas.microsoft.com/office/spreadsheetml/2009/9/main" objectType="CheckBox"/>
</file>

<file path=xl/ctrlProps/ctrlProp12.xml><?xml version="1.0" encoding="utf-8"?>
<formControlPr xmlns="http://schemas.microsoft.com/office/spreadsheetml/2009/9/main" objectType="CheckBox" checked="Checked"/>
</file>

<file path=xl/ctrlProps/ctrlProp13.xml><?xml version="1.0" encoding="utf-8"?>
<formControlPr xmlns="http://schemas.microsoft.com/office/spreadsheetml/2009/9/main" objectType="CheckBox"/>
</file>

<file path=xl/ctrlProps/ctrlProp14.xml><?xml version="1.0" encoding="utf-8"?>
<formControlPr xmlns="http://schemas.microsoft.com/office/spreadsheetml/2009/9/main" objectType="CheckBox"/>
</file>

<file path=xl/ctrlProps/ctrlProp15.xml><?xml version="1.0" encoding="utf-8"?>
<formControlPr xmlns="http://schemas.microsoft.com/office/spreadsheetml/2009/9/main" objectType="CheckBox"/>
</file>

<file path=xl/ctrlProps/ctrlProp16.xml><?xml version="1.0" encoding="utf-8"?>
<formControlPr xmlns="http://schemas.microsoft.com/office/spreadsheetml/2009/9/main" objectType="CheckBox" checked="Checked"/>
</file>

<file path=xl/ctrlProps/ctrlProp17.xml><?xml version="1.0" encoding="utf-8"?>
<formControlPr xmlns="http://schemas.microsoft.com/office/spreadsheetml/2009/9/main" objectType="CheckBox" checked="Checked"/>
</file>

<file path=xl/ctrlProps/ctrlProp18.xml><?xml version="1.0" encoding="utf-8"?>
<formControlPr xmlns="http://schemas.microsoft.com/office/spreadsheetml/2009/9/main" objectType="CheckBox"/>
</file>

<file path=xl/ctrlProps/ctrlProp19.xml><?xml version="1.0" encoding="utf-8"?>
<formControlPr xmlns="http://schemas.microsoft.com/office/spreadsheetml/2009/9/main" objectType="CheckBox"/>
</file>

<file path=xl/ctrlProps/ctrlProp20.xml><?xml version="1.0" encoding="utf-8"?>
<formControlPr xmlns="http://schemas.microsoft.com/office/spreadsheetml/2009/9/main" objectType="CheckBox"/>
</file>

<file path=xl/ctrlProps/ctrlProp21.xml><?xml version="1.0" encoding="utf-8"?>
<formControlPr xmlns="http://schemas.microsoft.com/office/spreadsheetml/2009/9/main" objectType="CheckBox"/>
</file>

<file path=xl/ctrlProps/ctrlProp22.xml><?xml version="1.0" encoding="utf-8"?>
<formControlPr xmlns="http://schemas.microsoft.com/office/spreadsheetml/2009/9/main" objectType="CheckBox"/>
</file>

<file path=xl/ctrlProps/ctrlProp23.xml><?xml version="1.0" encoding="utf-8"?>
<formControlPr xmlns="http://schemas.microsoft.com/office/spreadsheetml/2009/9/main" objectType="CheckBox"/>
</file>

<file path=xl/ctrlProps/ctrlProp24.xml><?xml version="1.0" encoding="utf-8"?>
<formControlPr xmlns="http://schemas.microsoft.com/office/spreadsheetml/2009/9/main" objectType="CheckBox"/>
</file>

<file path=xl/ctrlProps/ctrlProp25.xml><?xml version="1.0" encoding="utf-8"?>
<formControlPr xmlns="http://schemas.microsoft.com/office/spreadsheetml/2009/9/main" objectType="CheckBox"/>
</file>

<file path=xl/ctrlProps/ctrlProp26.xml><?xml version="1.0" encoding="utf-8"?>
<formControlPr xmlns="http://schemas.microsoft.com/office/spreadsheetml/2009/9/main" objectType="CheckBox"/>
</file>

<file path=xl/ctrlProps/ctrlProp27.xml><?xml version="1.0" encoding="utf-8"?>
<formControlPr xmlns="http://schemas.microsoft.com/office/spreadsheetml/2009/9/main" objectType="CheckBox"/>
</file>

<file path=xl/ctrlProps/ctrlProp28.xml><?xml version="1.0" encoding="utf-8"?>
<formControlPr xmlns="http://schemas.microsoft.com/office/spreadsheetml/2009/9/main" objectType="CheckBox" checked="Checked"/>
</file>

<file path=xl/ctrlProps/ctrlProp29.xml><?xml version="1.0" encoding="utf-8"?>
<formControlPr xmlns="http://schemas.microsoft.com/office/spreadsheetml/2009/9/main" objectType="CheckBox"/>
</file>

<file path=xl/ctrlProps/ctrlProp30.xml><?xml version="1.0" encoding="utf-8"?>
<formControlPr xmlns="http://schemas.microsoft.com/office/spreadsheetml/2009/9/main" objectType="CheckBox"/>
</file>

<file path=xl/ctrlProps/ctrlProp31.xml><?xml version="1.0" encoding="utf-8"?>
<formControlPr xmlns="http://schemas.microsoft.com/office/spreadsheetml/2009/9/main" objectType="CheckBox"/>
</file>

<file path=xl/ctrlProps/ctrlProp32.xml><?xml version="1.0" encoding="utf-8"?>
<formControlPr xmlns="http://schemas.microsoft.com/office/spreadsheetml/2009/9/main" objectType="CheckBox" checked="Checked"/>
</file>

<file path=xl/ctrlProps/ctrlProp33.xml><?xml version="1.0" encoding="utf-8"?>
<formControlPr xmlns="http://schemas.microsoft.com/office/spreadsheetml/2009/9/main" objectType="CheckBox" checked="Checked"/>
</file>

<file path=xl/ctrlProps/ctrlProp34.xml><?xml version="1.0" encoding="utf-8"?>
<formControlPr xmlns="http://schemas.microsoft.com/office/spreadsheetml/2009/9/main" objectType="CheckBox"/>
</file>

<file path=xl/ctrlProps/ctrlProp35.xml><?xml version="1.0" encoding="utf-8"?>
<formControlPr xmlns="http://schemas.microsoft.com/office/spreadsheetml/2009/9/main" objectType="CheckBox"/>
</file>

<file path=xl/ctrlProps/ctrlProp36.xml><?xml version="1.0" encoding="utf-8"?>
<formControlPr xmlns="http://schemas.microsoft.com/office/spreadsheetml/2009/9/main" objectType="CheckBox"/>
</file>

<file path=xl/ctrlProps/ctrlProp37.xml><?xml version="1.0" encoding="utf-8"?>
<formControlPr xmlns="http://schemas.microsoft.com/office/spreadsheetml/2009/9/main" objectType="CheckBox"/>
</file>

<file path=xl/ctrlProps/ctrlProp38.xml><?xml version="1.0" encoding="utf-8"?>
<formControlPr xmlns="http://schemas.microsoft.com/office/spreadsheetml/2009/9/main" objectType="CheckBox"/>
</file>

<file path=xl/ctrlProps/ctrlProp39.xml><?xml version="1.0" encoding="utf-8"?>
<formControlPr xmlns="http://schemas.microsoft.com/office/spreadsheetml/2009/9/main" objectType="CheckBox"/>
</file>

<file path=xl/ctrlProps/ctrlProp40.xml><?xml version="1.0" encoding="utf-8"?>
<formControlPr xmlns="http://schemas.microsoft.com/office/spreadsheetml/2009/9/main" objectType="CheckBox"/>
</file>

<file path=xl/ctrlProps/ctrlProp41.xml><?xml version="1.0" encoding="utf-8"?>
<formControlPr xmlns="http://schemas.microsoft.com/office/spreadsheetml/2009/9/main" objectType="CheckBox"/>
</file>

<file path=xl/ctrlProps/ctrlProp42.xml><?xml version="1.0" encoding="utf-8"?>
<formControlPr xmlns="http://schemas.microsoft.com/office/spreadsheetml/2009/9/main" objectType="CheckBox"/>
</file>

<file path=xl/ctrlProps/ctrlProp43.xml><?xml version="1.0" encoding="utf-8"?>
<formControlPr xmlns="http://schemas.microsoft.com/office/spreadsheetml/2009/9/main" objectType="CheckBox"/>
</file>

<file path=xl/ctrlProps/ctrlProp44.xml><?xml version="1.0" encoding="utf-8"?>
<formControlPr xmlns="http://schemas.microsoft.com/office/spreadsheetml/2009/9/main" objectType="CheckBox" checked="Checked"/>
</file>

<file path=xl/ctrlProps/ctrlProp45.xml><?xml version="1.0" encoding="utf-8"?>
<formControlPr xmlns="http://schemas.microsoft.com/office/spreadsheetml/2009/9/main" objectType="CheckBox"/>
</file>

<file path=xl/ctrlProps/ctrlProp46.xml><?xml version="1.0" encoding="utf-8"?>
<formControlPr xmlns="http://schemas.microsoft.com/office/spreadsheetml/2009/9/main" objectType="CheckBox"/>
</file>

<file path=xl/ctrlProps/ctrlProp47.xml><?xml version="1.0" encoding="utf-8"?>
<formControlPr xmlns="http://schemas.microsoft.com/office/spreadsheetml/2009/9/main" objectType="CheckBox"/>
</file>

<file path=xl/ctrlProps/ctrlProp48.xml><?xml version="1.0" encoding="utf-8"?>
<formControlPr xmlns="http://schemas.microsoft.com/office/spreadsheetml/2009/9/main" objectType="CheckBox" checked="Checked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 /><Relationship Id="rId1" Type="http://schemas.openxmlformats.org/officeDocument/2006/relationships/image" Target="../media/image1.png" 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 /><Relationship Id="rId1" Type="http://schemas.openxmlformats.org/officeDocument/2006/relationships/image" Target="../media/image1.png" 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 /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477309</xdr:colOff>
      <xdr:row>3</xdr:row>
      <xdr:rowOff>22225</xdr:rowOff>
    </xdr:from>
    <xdr:to>
      <xdr:col>17</xdr:col>
      <xdr:colOff>651934</xdr:colOff>
      <xdr:row>3</xdr:row>
      <xdr:rowOff>22225</xdr:rowOff>
    </xdr:to>
    <xdr:sp macro="" textlink="">
      <xdr:nvSpPr>
        <xdr:cNvPr id="2" name="Line 38">
          <a:extLst>
            <a:ext uri="{FF2B5EF4-FFF2-40B4-BE49-F238E27FC236}">
              <a16:creationId xmlns:a16="http://schemas.microsoft.com/office/drawing/2014/main" id="{0E7D36AF-6698-42A1-8EF5-215E4916B914}"/>
            </a:ext>
          </a:extLst>
        </xdr:cNvPr>
        <xdr:cNvSpPr>
          <a:spLocks noChangeShapeType="1"/>
        </xdr:cNvSpPr>
      </xdr:nvSpPr>
      <xdr:spPr>
        <a:xfrm>
          <a:off x="7624869" y="746125"/>
          <a:ext cx="6323965" cy="0"/>
        </a:xfrm>
        <a:prstGeom prst="line">
          <a:avLst/>
        </a:prstGeom>
        <a:noFill/>
        <a:ln w="9525">
          <a:solidFill>
            <a:srgbClr val="000000"/>
          </a:solidFill>
          <a:round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PH"/>
        </a:p>
        <a:p>
          <a:endParaRPr lang="en-PH"/>
        </a:p>
      </xdr:txBody>
    </xdr:sp>
    <xdr:clientData/>
  </xdr:twoCellAnchor>
  <xdr:twoCellAnchor>
    <xdr:from>
      <xdr:col>18</xdr:col>
      <xdr:colOff>0</xdr:colOff>
      <xdr:row>3</xdr:row>
      <xdr:rowOff>0</xdr:rowOff>
    </xdr:from>
    <xdr:to>
      <xdr:col>19</xdr:col>
      <xdr:colOff>923925</xdr:colOff>
      <xdr:row>3</xdr:row>
      <xdr:rowOff>0</xdr:rowOff>
    </xdr:to>
    <xdr:sp macro="" textlink="">
      <xdr:nvSpPr>
        <xdr:cNvPr id="3" name="Line 39">
          <a:extLst>
            <a:ext uri="{FF2B5EF4-FFF2-40B4-BE49-F238E27FC236}">
              <a16:creationId xmlns:a16="http://schemas.microsoft.com/office/drawing/2014/main" id="{EA97433B-DC35-43EA-93D0-559F1F5FD3CB}"/>
            </a:ext>
          </a:extLst>
        </xdr:cNvPr>
        <xdr:cNvSpPr>
          <a:spLocks noChangeShapeType="1"/>
        </xdr:cNvSpPr>
      </xdr:nvSpPr>
      <xdr:spPr>
        <a:xfrm>
          <a:off x="14112240" y="723900"/>
          <a:ext cx="1396365" cy="0"/>
        </a:xfrm>
        <a:prstGeom prst="line">
          <a:avLst/>
        </a:prstGeom>
        <a:noFill/>
        <a:ln w="9525">
          <a:solidFill>
            <a:srgbClr val="000000"/>
          </a:solidFill>
          <a:round/>
        </a:ln>
      </xdr:spPr>
    </xdr:sp>
    <xdr:clientData/>
  </xdr:twoCellAnchor>
  <xdr:twoCellAnchor>
    <xdr:from>
      <xdr:col>8</xdr:col>
      <xdr:colOff>1214120</xdr:colOff>
      <xdr:row>42</xdr:row>
      <xdr:rowOff>143510</xdr:rowOff>
    </xdr:from>
    <xdr:to>
      <xdr:col>13</xdr:col>
      <xdr:colOff>273685</xdr:colOff>
      <xdr:row>44</xdr:row>
      <xdr:rowOff>83820</xdr:rowOff>
    </xdr:to>
    <xdr:sp macro="" textlink="">
      <xdr:nvSpPr>
        <xdr:cNvPr id="4" name="Rectangle 34">
          <a:extLst>
            <a:ext uri="{FF2B5EF4-FFF2-40B4-BE49-F238E27FC236}">
              <a16:creationId xmlns:a16="http://schemas.microsoft.com/office/drawing/2014/main" id="{8920034C-9879-4A32-A867-41A36D065E8D}"/>
            </a:ext>
          </a:extLst>
        </xdr:cNvPr>
        <xdr:cNvSpPr/>
      </xdr:nvSpPr>
      <xdr:spPr>
        <a:xfrm>
          <a:off x="6555740" y="10346690"/>
          <a:ext cx="3814445" cy="3213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107152</xdr:colOff>
      <xdr:row>49</xdr:row>
      <xdr:rowOff>142869</xdr:rowOff>
    </xdr:from>
    <xdr:to>
      <xdr:col>13</xdr:col>
      <xdr:colOff>11905</xdr:colOff>
      <xdr:row>51</xdr:row>
      <xdr:rowOff>83338</xdr:rowOff>
    </xdr:to>
    <xdr:sp macro="" textlink="">
      <xdr:nvSpPr>
        <xdr:cNvPr id="5" name="Rectangle 36">
          <a:extLst>
            <a:ext uri="{FF2B5EF4-FFF2-40B4-BE49-F238E27FC236}">
              <a16:creationId xmlns:a16="http://schemas.microsoft.com/office/drawing/2014/main" id="{9A844E6D-5384-465D-99B0-6D15395F3FFB}"/>
            </a:ext>
          </a:extLst>
        </xdr:cNvPr>
        <xdr:cNvSpPr/>
      </xdr:nvSpPr>
      <xdr:spPr>
        <a:xfrm>
          <a:off x="7254712" y="11961489"/>
          <a:ext cx="2853693" cy="43576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3</xdr:row>
          <xdr:rowOff>7620</xdr:rowOff>
        </xdr:from>
        <xdr:to>
          <xdr:col>9</xdr:col>
          <xdr:colOff>678180</xdr:colOff>
          <xdr:row>4</xdr:row>
          <xdr:rowOff>0</xdr:rowOff>
        </xdr:to>
        <xdr:sp macro="" textlink="">
          <xdr:nvSpPr>
            <xdr:cNvPr id="7169" name="Check Box 1" hidden="1">
              <a:extLst>
                <a:ext uri="{63B3BB69-23CF-44E3-9099-C40C66FF867C}">
                  <a14:compatExt spid="_x0000_s7169"/>
                </a:ext>
                <a:ext uri="{FF2B5EF4-FFF2-40B4-BE49-F238E27FC236}">
                  <a16:creationId xmlns:a16="http://schemas.microsoft.com/office/drawing/2014/main" id="{0E35E097-2E91-4F31-A8F9-E59EFB15ECB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1021080</xdr:colOff>
          <xdr:row>3</xdr:row>
          <xdr:rowOff>7620</xdr:rowOff>
        </xdr:from>
        <xdr:to>
          <xdr:col>11</xdr:col>
          <xdr:colOff>449580</xdr:colOff>
          <xdr:row>3</xdr:row>
          <xdr:rowOff>228600</xdr:rowOff>
        </xdr:to>
        <xdr:sp macro="" textlink="">
          <xdr:nvSpPr>
            <xdr:cNvPr id="7170" name="Check Box 2" hidden="1">
              <a:extLst>
                <a:ext uri="{63B3BB69-23CF-44E3-9099-C40C66FF867C}">
                  <a14:compatExt spid="_x0000_s7170"/>
                </a:ext>
                <a:ext uri="{FF2B5EF4-FFF2-40B4-BE49-F238E27FC236}">
                  <a16:creationId xmlns:a16="http://schemas.microsoft.com/office/drawing/2014/main" id="{BA4ED895-D521-4D72-97DE-8A8F58ADFBB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114300</xdr:colOff>
          <xdr:row>3</xdr:row>
          <xdr:rowOff>15240</xdr:rowOff>
        </xdr:from>
        <xdr:to>
          <xdr:col>14</xdr:col>
          <xdr:colOff>236220</xdr:colOff>
          <xdr:row>3</xdr:row>
          <xdr:rowOff>236220</xdr:rowOff>
        </xdr:to>
        <xdr:sp macro="" textlink="">
          <xdr:nvSpPr>
            <xdr:cNvPr id="7171" name="Check Box 3" hidden="1">
              <a:extLst>
                <a:ext uri="{63B3BB69-23CF-44E3-9099-C40C66FF867C}">
                  <a14:compatExt spid="_x0000_s7171"/>
                </a:ext>
                <a:ext uri="{FF2B5EF4-FFF2-40B4-BE49-F238E27FC236}">
                  <a16:creationId xmlns:a16="http://schemas.microsoft.com/office/drawing/2014/main" id="{0FDD47C7-116D-4D2A-BDAD-00F02B3306B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944880</xdr:colOff>
          <xdr:row>3</xdr:row>
          <xdr:rowOff>7620</xdr:rowOff>
        </xdr:from>
        <xdr:to>
          <xdr:col>16</xdr:col>
          <xdr:colOff>502920</xdr:colOff>
          <xdr:row>3</xdr:row>
          <xdr:rowOff>243840</xdr:rowOff>
        </xdr:to>
        <xdr:sp macro="" textlink="">
          <xdr:nvSpPr>
            <xdr:cNvPr id="7172" name="Check Box 4" hidden="1">
              <a:extLst>
                <a:ext uri="{63B3BB69-23CF-44E3-9099-C40C66FF867C}">
                  <a14:compatExt spid="_x0000_s7172"/>
                </a:ext>
                <a:ext uri="{FF2B5EF4-FFF2-40B4-BE49-F238E27FC236}">
                  <a16:creationId xmlns:a16="http://schemas.microsoft.com/office/drawing/2014/main" id="{571C47E5-742A-4091-953A-E3515F317C2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0</xdr:colOff>
          <xdr:row>12</xdr:row>
          <xdr:rowOff>0</xdr:rowOff>
        </xdr:from>
        <xdr:to>
          <xdr:col>14</xdr:col>
          <xdr:colOff>617220</xdr:colOff>
          <xdr:row>12</xdr:row>
          <xdr:rowOff>236220</xdr:rowOff>
        </xdr:to>
        <xdr:sp macro="" textlink="">
          <xdr:nvSpPr>
            <xdr:cNvPr id="7173" name="Check Box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8BA16C31-DF9B-4AAB-82AF-FB2B1CB6DA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388620</xdr:colOff>
          <xdr:row>12</xdr:row>
          <xdr:rowOff>7620</xdr:rowOff>
        </xdr:from>
        <xdr:to>
          <xdr:col>17</xdr:col>
          <xdr:colOff>487680</xdr:colOff>
          <xdr:row>12</xdr:row>
          <xdr:rowOff>228600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E56BCFB9-2D06-43CB-BFC8-FB330CC086C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990600</xdr:colOff>
          <xdr:row>12</xdr:row>
          <xdr:rowOff>7620</xdr:rowOff>
        </xdr:from>
        <xdr:to>
          <xdr:col>16</xdr:col>
          <xdr:colOff>68580</xdr:colOff>
          <xdr:row>12</xdr:row>
          <xdr:rowOff>228600</xdr:rowOff>
        </xdr:to>
        <xdr:sp macro="" textlink="">
          <xdr:nvSpPr>
            <xdr:cNvPr id="7175" name="Check Box 7" hidden="1">
              <a:extLst>
                <a:ext uri="{63B3BB69-23CF-44E3-9099-C40C66FF867C}">
                  <a14:compatExt spid="_x0000_s7175"/>
                </a:ext>
                <a:ext uri="{FF2B5EF4-FFF2-40B4-BE49-F238E27FC236}">
                  <a16:creationId xmlns:a16="http://schemas.microsoft.com/office/drawing/2014/main" id="{367F2219-9D06-4267-BA75-74507E2EB9F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381000</xdr:colOff>
          <xdr:row>12</xdr:row>
          <xdr:rowOff>7620</xdr:rowOff>
        </xdr:from>
        <xdr:to>
          <xdr:col>13</xdr:col>
          <xdr:colOff>335280</xdr:colOff>
          <xdr:row>12</xdr:row>
          <xdr:rowOff>228600</xdr:rowOff>
        </xdr:to>
        <xdr:sp macro="" textlink="">
          <xdr:nvSpPr>
            <xdr:cNvPr id="7176" name="Check Box 8" hidden="1">
              <a:extLst>
                <a:ext uri="{63B3BB69-23CF-44E3-9099-C40C66FF867C}">
                  <a14:compatExt spid="_x0000_s7176"/>
                </a:ext>
                <a:ext uri="{FF2B5EF4-FFF2-40B4-BE49-F238E27FC236}">
                  <a16:creationId xmlns:a16="http://schemas.microsoft.com/office/drawing/2014/main" id="{8737E456-AFD1-4093-8ECC-6EED7AE4A53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7620</xdr:colOff>
          <xdr:row>12</xdr:row>
          <xdr:rowOff>7620</xdr:rowOff>
        </xdr:from>
        <xdr:to>
          <xdr:col>19</xdr:col>
          <xdr:colOff>350520</xdr:colOff>
          <xdr:row>12</xdr:row>
          <xdr:rowOff>228600</xdr:rowOff>
        </xdr:to>
        <xdr:sp macro="" textlink="">
          <xdr:nvSpPr>
            <xdr:cNvPr id="7177" name="Check Box 9" hidden="1">
              <a:extLst>
                <a:ext uri="{63B3BB69-23CF-44E3-9099-C40C66FF867C}">
                  <a14:compatExt spid="_x0000_s7177"/>
                </a:ext>
                <a:ext uri="{FF2B5EF4-FFF2-40B4-BE49-F238E27FC236}">
                  <a16:creationId xmlns:a16="http://schemas.microsoft.com/office/drawing/2014/main" id="{CE4B21F8-E2C7-43AF-9395-35A87D7883E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44</xdr:row>
          <xdr:rowOff>160020</xdr:rowOff>
        </xdr:from>
        <xdr:to>
          <xdr:col>2</xdr:col>
          <xdr:colOff>2788920</xdr:colOff>
          <xdr:row>45</xdr:row>
          <xdr:rowOff>144780</xdr:rowOff>
        </xdr:to>
        <xdr:sp macro="" textlink="">
          <xdr:nvSpPr>
            <xdr:cNvPr id="7178" name="Check Box 10" hidden="1">
              <a:extLst>
                <a:ext uri="{63B3BB69-23CF-44E3-9099-C40C66FF867C}">
                  <a14:compatExt spid="_x0000_s7178"/>
                </a:ext>
                <a:ext uri="{FF2B5EF4-FFF2-40B4-BE49-F238E27FC236}">
                  <a16:creationId xmlns:a16="http://schemas.microsoft.com/office/drawing/2014/main" id="{22E7A945-F56F-410F-AD90-F77D95C812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APPROVED DRAWING  (ENGINEERING)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281940</xdr:colOff>
          <xdr:row>45</xdr:row>
          <xdr:rowOff>144780</xdr:rowOff>
        </xdr:from>
        <xdr:to>
          <xdr:col>2</xdr:col>
          <xdr:colOff>2811780</xdr:colOff>
          <xdr:row>46</xdr:row>
          <xdr:rowOff>45720</xdr:rowOff>
        </xdr:to>
        <xdr:sp macro="" textlink="">
          <xdr:nvSpPr>
            <xdr:cNvPr id="7179" name="Check Box 11" hidden="1">
              <a:extLst>
                <a:ext uri="{63B3BB69-23CF-44E3-9099-C40C66FF867C}">
                  <a14:compatExt spid="_x0000_s7179"/>
                </a:ext>
                <a:ext uri="{FF2B5EF4-FFF2-40B4-BE49-F238E27FC236}">
                  <a16:creationId xmlns:a16="http://schemas.microsoft.com/office/drawing/2014/main" id="{07E81F4E-3F29-4537-AFC7-03D67939220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PURCHASE REQUEST SHEET    (ENGINEERING)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43</xdr:row>
          <xdr:rowOff>129540</xdr:rowOff>
        </xdr:from>
        <xdr:to>
          <xdr:col>2</xdr:col>
          <xdr:colOff>3611880</xdr:colOff>
          <xdr:row>45</xdr:row>
          <xdr:rowOff>30480</xdr:rowOff>
        </xdr:to>
        <xdr:sp macro="" textlink="">
          <xdr:nvSpPr>
            <xdr:cNvPr id="7180" name="Check Box 12" hidden="1">
              <a:extLst>
                <a:ext uri="{63B3BB69-23CF-44E3-9099-C40C66FF867C}">
                  <a14:compatExt spid="_x0000_s7180"/>
                </a:ext>
                <a:ext uri="{FF2B5EF4-FFF2-40B4-BE49-F238E27FC236}">
                  <a16:creationId xmlns:a16="http://schemas.microsoft.com/office/drawing/2014/main" id="{7DEAEE86-51CE-41A1-8CB4-380C6B2CF7B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QUOTATION (TO END CUSTOMER)   S.E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46</xdr:row>
          <xdr:rowOff>45720</xdr:rowOff>
        </xdr:from>
        <xdr:to>
          <xdr:col>2</xdr:col>
          <xdr:colOff>3002280</xdr:colOff>
          <xdr:row>46</xdr:row>
          <xdr:rowOff>236220</xdr:rowOff>
        </xdr:to>
        <xdr:sp macro="" textlink="">
          <xdr:nvSpPr>
            <xdr:cNvPr id="7181" name="Check Box 13" hidden="1">
              <a:extLst>
                <a:ext uri="{63B3BB69-23CF-44E3-9099-C40C66FF867C}">
                  <a14:compatExt spid="_x0000_s7181"/>
                </a:ext>
                <a:ext uri="{FF2B5EF4-FFF2-40B4-BE49-F238E27FC236}">
                  <a16:creationId xmlns:a16="http://schemas.microsoft.com/office/drawing/2014/main" id="{27982015-52D6-4702-893A-D4CF752D679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PURCHASE ORDERS   (PURCHASING)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46</xdr:row>
          <xdr:rowOff>228600</xdr:rowOff>
        </xdr:from>
        <xdr:to>
          <xdr:col>2</xdr:col>
          <xdr:colOff>2979420</xdr:colOff>
          <xdr:row>47</xdr:row>
          <xdr:rowOff>129540</xdr:rowOff>
        </xdr:to>
        <xdr:sp macro="" textlink="">
          <xdr:nvSpPr>
            <xdr:cNvPr id="7182" name="Check Box 14" hidden="1">
              <a:extLst>
                <a:ext uri="{63B3BB69-23CF-44E3-9099-C40C66FF867C}">
                  <a14:compatExt spid="_x0000_s7182"/>
                </a:ext>
                <a:ext uri="{FF2B5EF4-FFF2-40B4-BE49-F238E27FC236}">
                  <a16:creationId xmlns:a16="http://schemas.microsoft.com/office/drawing/2014/main" id="{03751967-2DD6-44BF-B0A5-36536545E41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DELIVERY RECIEPTS   (COORDINATOR)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47</xdr:row>
          <xdr:rowOff>129540</xdr:rowOff>
        </xdr:from>
        <xdr:to>
          <xdr:col>2</xdr:col>
          <xdr:colOff>3649980</xdr:colOff>
          <xdr:row>48</xdr:row>
          <xdr:rowOff>106680</xdr:rowOff>
        </xdr:to>
        <xdr:sp macro="" textlink="">
          <xdr:nvSpPr>
            <xdr:cNvPr id="7183" name="Check Box 15" hidden="1">
              <a:extLst>
                <a:ext uri="{63B3BB69-23CF-44E3-9099-C40C66FF867C}">
                  <a14:compatExt spid="_x0000_s7183"/>
                </a:ext>
                <a:ext uri="{FF2B5EF4-FFF2-40B4-BE49-F238E27FC236}">
                  <a16:creationId xmlns:a16="http://schemas.microsoft.com/office/drawing/2014/main" id="{FC0DCB27-9457-4FDE-9C3A-A731FFF493E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SALES INVOICES (ACCOUNTING)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43</xdr:row>
          <xdr:rowOff>7620</xdr:rowOff>
        </xdr:from>
        <xdr:to>
          <xdr:col>2</xdr:col>
          <xdr:colOff>2689860</xdr:colOff>
          <xdr:row>44</xdr:row>
          <xdr:rowOff>7620</xdr:rowOff>
        </xdr:to>
        <xdr:sp macro="" textlink="">
          <xdr:nvSpPr>
            <xdr:cNvPr id="7184" name="Check Box 16" hidden="1">
              <a:extLst>
                <a:ext uri="{63B3BB69-23CF-44E3-9099-C40C66FF867C}">
                  <a14:compatExt spid="_x0000_s7184"/>
                </a:ext>
                <a:ext uri="{FF2B5EF4-FFF2-40B4-BE49-F238E27FC236}">
                  <a16:creationId xmlns:a16="http://schemas.microsoft.com/office/drawing/2014/main" id="{27C6183A-7EC0-4045-A6DD-8B929445DBC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PURCHASE ORDER (NTP / NOA)  S.E</a:t>
              </a:r>
            </a:p>
          </xdr:txBody>
        </xdr:sp>
        <xdr:clientData fLocksWithSheet="0"/>
      </xdr:twoCellAnchor>
    </mc:Choice>
    <mc:Fallback/>
  </mc:AlternateContent>
  <xdr:twoCellAnchor editAs="oneCell">
    <xdr:from>
      <xdr:col>28</xdr:col>
      <xdr:colOff>217352</xdr:colOff>
      <xdr:row>42</xdr:row>
      <xdr:rowOff>77380</xdr:rowOff>
    </xdr:from>
    <xdr:to>
      <xdr:col>30</xdr:col>
      <xdr:colOff>114118</xdr:colOff>
      <xdr:row>45</xdr:row>
      <xdr:rowOff>269966</xdr:rowOff>
    </xdr:to>
    <xdr:pic>
      <xdr:nvPicPr>
        <xdr:cNvPr id="6" name="Picture 5" descr="IMG_20250420_105749-removebg-preview">
          <a:extLst>
            <a:ext uri="{FF2B5EF4-FFF2-40B4-BE49-F238E27FC236}">
              <a16:creationId xmlns:a16="http://schemas.microsoft.com/office/drawing/2014/main" id="{3E78C1EA-0ADE-4233-B390-0853C560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90209" y="10244637"/>
          <a:ext cx="1170395" cy="813072"/>
        </a:xfrm>
        <a:prstGeom prst="rect">
          <a:avLst/>
        </a:prstGeom>
      </xdr:spPr>
    </xdr:pic>
    <xdr:clientData/>
  </xdr:twoCellAnchor>
  <xdr:twoCellAnchor>
    <xdr:from>
      <xdr:col>2</xdr:col>
      <xdr:colOff>2533650</xdr:colOff>
      <xdr:row>45</xdr:row>
      <xdr:rowOff>279400</xdr:rowOff>
    </xdr:from>
    <xdr:to>
      <xdr:col>8</xdr:col>
      <xdr:colOff>438150</xdr:colOff>
      <xdr:row>48</xdr:row>
      <xdr:rowOff>231775</xdr:rowOff>
    </xdr:to>
    <xdr:sp macro="" textlink="">
      <xdr:nvSpPr>
        <xdr:cNvPr id="7" name="Text Box 22">
          <a:extLst>
            <a:ext uri="{FF2B5EF4-FFF2-40B4-BE49-F238E27FC236}">
              <a16:creationId xmlns:a16="http://schemas.microsoft.com/office/drawing/2014/main" id="{D8F605FA-AEE2-4452-B500-076FC9774DA9}"/>
            </a:ext>
          </a:extLst>
        </xdr:cNvPr>
        <xdr:cNvSpPr txBox="1"/>
      </xdr:nvSpPr>
      <xdr:spPr>
        <a:xfrm>
          <a:off x="3516630" y="11084560"/>
          <a:ext cx="2263140" cy="6991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100" b="1"/>
            <a:t>PRODUCTION: _______________</a:t>
          </a:r>
        </a:p>
        <a:p>
          <a:pPr algn="l"/>
          <a:endParaRPr lang="en-US" sz="1100" b="1"/>
        </a:p>
        <a:p>
          <a:pPr algn="l"/>
          <a:r>
            <a:rPr lang="en-US" sz="1100" b="1"/>
            <a:t>QA / QC: ____________________</a:t>
          </a:r>
        </a:p>
      </xdr:txBody>
    </xdr:sp>
    <xdr:clientData/>
  </xdr:twoCellAnchor>
  <xdr:twoCellAnchor editAs="oneCell">
    <xdr:from>
      <xdr:col>0</xdr:col>
      <xdr:colOff>0</xdr:colOff>
      <xdr:row>0</xdr:row>
      <xdr:rowOff>64262</xdr:rowOff>
    </xdr:from>
    <xdr:to>
      <xdr:col>3</xdr:col>
      <xdr:colOff>173990</xdr:colOff>
      <xdr:row>1</xdr:row>
      <xdr:rowOff>266192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AF7584A-6AA2-4CBB-89E0-F7C1531B6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262"/>
          <a:ext cx="5187950" cy="3695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477309</xdr:colOff>
      <xdr:row>3</xdr:row>
      <xdr:rowOff>22225</xdr:rowOff>
    </xdr:from>
    <xdr:to>
      <xdr:col>17</xdr:col>
      <xdr:colOff>651934</xdr:colOff>
      <xdr:row>3</xdr:row>
      <xdr:rowOff>22225</xdr:rowOff>
    </xdr:to>
    <xdr:sp macro="" textlink="">
      <xdr:nvSpPr>
        <xdr:cNvPr id="1313" name="Line 38">
          <a:extLst>
            <a:ext uri="{FF2B5EF4-FFF2-40B4-BE49-F238E27FC236}">
              <a16:creationId xmlns:a16="http://schemas.microsoft.com/office/drawing/2014/main" id="{00000000-0008-0000-0000-000021050000}"/>
            </a:ext>
          </a:extLst>
        </xdr:cNvPr>
        <xdr:cNvSpPr>
          <a:spLocks noChangeShapeType="1"/>
        </xdr:cNvSpPr>
      </xdr:nvSpPr>
      <xdr:spPr>
        <a:xfrm>
          <a:off x="7426325" y="744220"/>
          <a:ext cx="6153150" cy="0"/>
        </a:xfrm>
        <a:prstGeom prst="line">
          <a:avLst/>
        </a:prstGeom>
        <a:noFill/>
        <a:ln w="9525">
          <a:solidFill>
            <a:srgbClr val="000000"/>
          </a:solidFill>
          <a:round/>
        </a:ln>
      </xdr:spPr>
      <xdr:txBody>
        <a:bodyPr/>
        <a:lstStyle/>
        <a:p>
          <a:endParaRPr lang="en-PH"/>
        </a:p>
        <a:p>
          <a:endParaRPr lang="en-PH"/>
        </a:p>
      </xdr:txBody>
    </xdr:sp>
    <xdr:clientData/>
  </xdr:twoCellAnchor>
  <xdr:twoCellAnchor>
    <xdr:from>
      <xdr:col>18</xdr:col>
      <xdr:colOff>0</xdr:colOff>
      <xdr:row>3</xdr:row>
      <xdr:rowOff>0</xdr:rowOff>
    </xdr:from>
    <xdr:to>
      <xdr:col>19</xdr:col>
      <xdr:colOff>923925</xdr:colOff>
      <xdr:row>3</xdr:row>
      <xdr:rowOff>0</xdr:rowOff>
    </xdr:to>
    <xdr:sp macro="" textlink="">
      <xdr:nvSpPr>
        <xdr:cNvPr id="1314" name="Line 39">
          <a:extLst>
            <a:ext uri="{FF2B5EF4-FFF2-40B4-BE49-F238E27FC236}">
              <a16:creationId xmlns:a16="http://schemas.microsoft.com/office/drawing/2014/main" id="{00000000-0008-0000-0000-000022050000}"/>
            </a:ext>
          </a:extLst>
        </xdr:cNvPr>
        <xdr:cNvSpPr>
          <a:spLocks noChangeShapeType="1"/>
        </xdr:cNvSpPr>
      </xdr:nvSpPr>
      <xdr:spPr>
        <a:xfrm>
          <a:off x="13719810" y="721995"/>
          <a:ext cx="1383030" cy="0"/>
        </a:xfrm>
        <a:prstGeom prst="line">
          <a:avLst/>
        </a:prstGeom>
        <a:noFill/>
        <a:ln w="9525">
          <a:solidFill>
            <a:srgbClr val="000000"/>
          </a:solidFill>
          <a:round/>
        </a:ln>
      </xdr:spPr>
    </xdr:sp>
    <xdr:clientData/>
  </xdr:twoCellAnchor>
  <xdr:twoCellAnchor>
    <xdr:from>
      <xdr:col>8</xdr:col>
      <xdr:colOff>1214120</xdr:colOff>
      <xdr:row>42</xdr:row>
      <xdr:rowOff>143510</xdr:rowOff>
    </xdr:from>
    <xdr:to>
      <xdr:col>13</xdr:col>
      <xdr:colOff>273685</xdr:colOff>
      <xdr:row>44</xdr:row>
      <xdr:rowOff>83820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/>
      </xdr:nvSpPr>
      <xdr:spPr>
        <a:xfrm>
          <a:off x="6407785" y="10474325"/>
          <a:ext cx="3682365" cy="3213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107152</xdr:colOff>
      <xdr:row>49</xdr:row>
      <xdr:rowOff>142869</xdr:rowOff>
    </xdr:from>
    <xdr:to>
      <xdr:col>13</xdr:col>
      <xdr:colOff>11905</xdr:colOff>
      <xdr:row>51</xdr:row>
      <xdr:rowOff>83338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/>
      </xdr:nvSpPr>
      <xdr:spPr>
        <a:xfrm>
          <a:off x="7056120" y="12098020"/>
          <a:ext cx="2771775" cy="43624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3</xdr:row>
          <xdr:rowOff>7620</xdr:rowOff>
        </xdr:from>
        <xdr:to>
          <xdr:col>9</xdr:col>
          <xdr:colOff>678180</xdr:colOff>
          <xdr:row>4</xdr:row>
          <xdr:rowOff>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1021080</xdr:colOff>
          <xdr:row>3</xdr:row>
          <xdr:rowOff>7620</xdr:rowOff>
        </xdr:from>
        <xdr:to>
          <xdr:col>11</xdr:col>
          <xdr:colOff>449580</xdr:colOff>
          <xdr:row>3</xdr:row>
          <xdr:rowOff>228600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114300</xdr:colOff>
          <xdr:row>3</xdr:row>
          <xdr:rowOff>15240</xdr:rowOff>
        </xdr:from>
        <xdr:to>
          <xdr:col>14</xdr:col>
          <xdr:colOff>236220</xdr:colOff>
          <xdr:row>3</xdr:row>
          <xdr:rowOff>236220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944880</xdr:colOff>
          <xdr:row>3</xdr:row>
          <xdr:rowOff>7620</xdr:rowOff>
        </xdr:from>
        <xdr:to>
          <xdr:col>16</xdr:col>
          <xdr:colOff>502920</xdr:colOff>
          <xdr:row>3</xdr:row>
          <xdr:rowOff>243840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0</xdr:colOff>
          <xdr:row>12</xdr:row>
          <xdr:rowOff>0</xdr:rowOff>
        </xdr:from>
        <xdr:to>
          <xdr:col>14</xdr:col>
          <xdr:colOff>617220</xdr:colOff>
          <xdr:row>12</xdr:row>
          <xdr:rowOff>236220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388620</xdr:colOff>
          <xdr:row>12</xdr:row>
          <xdr:rowOff>7620</xdr:rowOff>
        </xdr:from>
        <xdr:to>
          <xdr:col>17</xdr:col>
          <xdr:colOff>487680</xdr:colOff>
          <xdr:row>12</xdr:row>
          <xdr:rowOff>228600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990600</xdr:colOff>
          <xdr:row>12</xdr:row>
          <xdr:rowOff>7620</xdr:rowOff>
        </xdr:from>
        <xdr:to>
          <xdr:col>16</xdr:col>
          <xdr:colOff>68580</xdr:colOff>
          <xdr:row>12</xdr:row>
          <xdr:rowOff>228600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381000</xdr:colOff>
          <xdr:row>12</xdr:row>
          <xdr:rowOff>7620</xdr:rowOff>
        </xdr:from>
        <xdr:to>
          <xdr:col>13</xdr:col>
          <xdr:colOff>335280</xdr:colOff>
          <xdr:row>12</xdr:row>
          <xdr:rowOff>228600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7620</xdr:colOff>
          <xdr:row>12</xdr:row>
          <xdr:rowOff>7620</xdr:rowOff>
        </xdr:from>
        <xdr:to>
          <xdr:col>19</xdr:col>
          <xdr:colOff>350520</xdr:colOff>
          <xdr:row>12</xdr:row>
          <xdr:rowOff>228600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44</xdr:row>
          <xdr:rowOff>160020</xdr:rowOff>
        </xdr:from>
        <xdr:to>
          <xdr:col>2</xdr:col>
          <xdr:colOff>2781300</xdr:colOff>
          <xdr:row>45</xdr:row>
          <xdr:rowOff>144780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APPROVED DRAWING  (ENGINEERING)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281940</xdr:colOff>
          <xdr:row>45</xdr:row>
          <xdr:rowOff>137160</xdr:rowOff>
        </xdr:from>
        <xdr:to>
          <xdr:col>2</xdr:col>
          <xdr:colOff>2811780</xdr:colOff>
          <xdr:row>46</xdr:row>
          <xdr:rowOff>38100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PURCHASE REQUEST SHEET    (ENGINEERING)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43</xdr:row>
          <xdr:rowOff>129540</xdr:rowOff>
        </xdr:from>
        <xdr:to>
          <xdr:col>2</xdr:col>
          <xdr:colOff>3611880</xdr:colOff>
          <xdr:row>45</xdr:row>
          <xdr:rowOff>30480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QUOTATION (TO END CUSTOMER)   S.E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46</xdr:row>
          <xdr:rowOff>38100</xdr:rowOff>
        </xdr:from>
        <xdr:to>
          <xdr:col>2</xdr:col>
          <xdr:colOff>3002280</xdr:colOff>
          <xdr:row>46</xdr:row>
          <xdr:rowOff>243840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PURCHASE ORDERS   (PURCHASING)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46</xdr:row>
          <xdr:rowOff>228600</xdr:rowOff>
        </xdr:from>
        <xdr:to>
          <xdr:col>2</xdr:col>
          <xdr:colOff>2987040</xdr:colOff>
          <xdr:row>47</xdr:row>
          <xdr:rowOff>129540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DELIVERY RECIEPTS   (COORDINATOR)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47</xdr:row>
          <xdr:rowOff>129540</xdr:rowOff>
        </xdr:from>
        <xdr:to>
          <xdr:col>2</xdr:col>
          <xdr:colOff>3649980</xdr:colOff>
          <xdr:row>48</xdr:row>
          <xdr:rowOff>106680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id="{00000000-0008-0000-00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SALES INVOICES (ACCOUNTING)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43</xdr:row>
          <xdr:rowOff>7620</xdr:rowOff>
        </xdr:from>
        <xdr:to>
          <xdr:col>2</xdr:col>
          <xdr:colOff>2689860</xdr:colOff>
          <xdr:row>44</xdr:row>
          <xdr:rowOff>7620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PURCHASE ORDER (NTP / NOA)  S.E</a:t>
              </a:r>
            </a:p>
          </xdr:txBody>
        </xdr:sp>
        <xdr:clientData fLocksWithSheet="0"/>
      </xdr:twoCellAnchor>
    </mc:Choice>
    <mc:Fallback/>
  </mc:AlternateContent>
  <xdr:twoCellAnchor editAs="oneCell">
    <xdr:from>
      <xdr:col>28</xdr:col>
      <xdr:colOff>159186</xdr:colOff>
      <xdr:row>41</xdr:row>
      <xdr:rowOff>96227</xdr:rowOff>
    </xdr:from>
    <xdr:to>
      <xdr:col>30</xdr:col>
      <xdr:colOff>68789</xdr:colOff>
      <xdr:row>45</xdr:row>
      <xdr:rowOff>41854</xdr:rowOff>
    </xdr:to>
    <xdr:pic>
      <xdr:nvPicPr>
        <xdr:cNvPr id="2" name="Picture 1" descr="IMG_20250420_105749-removebg-preview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014171" y="10013600"/>
          <a:ext cx="1172021" cy="809985"/>
        </a:xfrm>
        <a:prstGeom prst="rect">
          <a:avLst/>
        </a:prstGeom>
      </xdr:spPr>
    </xdr:pic>
    <xdr:clientData/>
  </xdr:twoCellAnchor>
  <xdr:twoCellAnchor>
    <xdr:from>
      <xdr:col>2</xdr:col>
      <xdr:colOff>2533650</xdr:colOff>
      <xdr:row>45</xdr:row>
      <xdr:rowOff>279400</xdr:rowOff>
    </xdr:from>
    <xdr:to>
      <xdr:col>8</xdr:col>
      <xdr:colOff>438150</xdr:colOff>
      <xdr:row>48</xdr:row>
      <xdr:rowOff>231775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489325" y="11219815"/>
          <a:ext cx="2142490" cy="7010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US" sz="1100" b="1"/>
            <a:t>PRODUCTION: _______________</a:t>
          </a:r>
        </a:p>
        <a:p>
          <a:pPr algn="l"/>
          <a:endParaRPr lang="en-US" sz="1100" b="1"/>
        </a:p>
        <a:p>
          <a:pPr algn="l"/>
          <a:r>
            <a:rPr lang="en-US" sz="1100" b="1"/>
            <a:t>QA / QC: ____________________</a:t>
          </a:r>
        </a:p>
      </xdr:txBody>
    </xdr:sp>
    <xdr:clientData/>
  </xdr:twoCellAnchor>
  <xdr:twoCellAnchor editAs="oneCell">
    <xdr:from>
      <xdr:col>0</xdr:col>
      <xdr:colOff>0</xdr:colOff>
      <xdr:row>0</xdr:row>
      <xdr:rowOff>64262</xdr:rowOff>
    </xdr:from>
    <xdr:to>
      <xdr:col>3</xdr:col>
      <xdr:colOff>174433</xdr:colOff>
      <xdr:row>1</xdr:row>
      <xdr:rowOff>266238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135"/>
          <a:ext cx="5048885" cy="3638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477309</xdr:colOff>
      <xdr:row>3</xdr:row>
      <xdr:rowOff>22225</xdr:rowOff>
    </xdr:from>
    <xdr:to>
      <xdr:col>17</xdr:col>
      <xdr:colOff>651934</xdr:colOff>
      <xdr:row>3</xdr:row>
      <xdr:rowOff>22225</xdr:rowOff>
    </xdr:to>
    <xdr:sp macro="" textlink="">
      <xdr:nvSpPr>
        <xdr:cNvPr id="2" name="Line 3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ShapeType="1"/>
        </xdr:cNvSpPr>
      </xdr:nvSpPr>
      <xdr:spPr>
        <a:xfrm>
          <a:off x="7426325" y="744220"/>
          <a:ext cx="6153150" cy="0"/>
        </a:xfrm>
        <a:prstGeom prst="line">
          <a:avLst/>
        </a:prstGeom>
        <a:noFill/>
        <a:ln w="9525">
          <a:solidFill>
            <a:srgbClr val="000000"/>
          </a:solidFill>
          <a:round/>
        </a:ln>
      </xdr:spPr>
      <xdr:txBody>
        <a:bodyPr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endParaRPr lang="en-PH"/>
        </a:p>
        <a:p>
          <a:endParaRPr lang="en-PH"/>
        </a:p>
      </xdr:txBody>
    </xdr:sp>
    <xdr:clientData/>
  </xdr:twoCellAnchor>
  <xdr:twoCellAnchor>
    <xdr:from>
      <xdr:col>18</xdr:col>
      <xdr:colOff>0</xdr:colOff>
      <xdr:row>3</xdr:row>
      <xdr:rowOff>0</xdr:rowOff>
    </xdr:from>
    <xdr:to>
      <xdr:col>19</xdr:col>
      <xdr:colOff>923925</xdr:colOff>
      <xdr:row>3</xdr:row>
      <xdr:rowOff>0</xdr:rowOff>
    </xdr:to>
    <xdr:sp macro="" textlink="">
      <xdr:nvSpPr>
        <xdr:cNvPr id="3" name="Line 39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ShapeType="1"/>
        </xdr:cNvSpPr>
      </xdr:nvSpPr>
      <xdr:spPr>
        <a:xfrm>
          <a:off x="13719810" y="721995"/>
          <a:ext cx="1383030" cy="0"/>
        </a:xfrm>
        <a:prstGeom prst="line">
          <a:avLst/>
        </a:prstGeom>
        <a:noFill/>
        <a:ln w="9525">
          <a:solidFill>
            <a:srgbClr val="000000"/>
          </a:solidFill>
          <a:round/>
        </a:ln>
      </xdr:spPr>
    </xdr:sp>
    <xdr:clientData/>
  </xdr:twoCellAnchor>
  <xdr:twoCellAnchor>
    <xdr:from>
      <xdr:col>8</xdr:col>
      <xdr:colOff>1214120</xdr:colOff>
      <xdr:row>42</xdr:row>
      <xdr:rowOff>143510</xdr:rowOff>
    </xdr:from>
    <xdr:to>
      <xdr:col>13</xdr:col>
      <xdr:colOff>273685</xdr:colOff>
      <xdr:row>44</xdr:row>
      <xdr:rowOff>83820</xdr:rowOff>
    </xdr:to>
    <xdr:sp macro="" textlink="">
      <xdr:nvSpPr>
        <xdr:cNvPr id="4" name="Rectangle 3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6407785" y="10474325"/>
          <a:ext cx="3682365" cy="32131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107152</xdr:colOff>
      <xdr:row>49</xdr:row>
      <xdr:rowOff>142869</xdr:rowOff>
    </xdr:from>
    <xdr:to>
      <xdr:col>13</xdr:col>
      <xdr:colOff>11905</xdr:colOff>
      <xdr:row>51</xdr:row>
      <xdr:rowOff>83338</xdr:rowOff>
    </xdr:to>
    <xdr:sp macro="" textlink="">
      <xdr:nvSpPr>
        <xdr:cNvPr id="5" name="Rectangle 36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7056120" y="12098020"/>
          <a:ext cx="2771775" cy="43624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>
          <a:defPPr>
            <a:defRPr lang="en-US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0</xdr:colOff>
          <xdr:row>3</xdr:row>
          <xdr:rowOff>7620</xdr:rowOff>
        </xdr:from>
        <xdr:to>
          <xdr:col>9</xdr:col>
          <xdr:colOff>678180</xdr:colOff>
          <xdr:row>4</xdr:row>
          <xdr:rowOff>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1021080</xdr:colOff>
          <xdr:row>3</xdr:row>
          <xdr:rowOff>7620</xdr:rowOff>
        </xdr:from>
        <xdr:to>
          <xdr:col>11</xdr:col>
          <xdr:colOff>449580</xdr:colOff>
          <xdr:row>3</xdr:row>
          <xdr:rowOff>228600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114300</xdr:colOff>
          <xdr:row>3</xdr:row>
          <xdr:rowOff>15240</xdr:rowOff>
        </xdr:from>
        <xdr:to>
          <xdr:col>14</xdr:col>
          <xdr:colOff>236220</xdr:colOff>
          <xdr:row>3</xdr:row>
          <xdr:rowOff>236220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944880</xdr:colOff>
          <xdr:row>3</xdr:row>
          <xdr:rowOff>7620</xdr:rowOff>
        </xdr:from>
        <xdr:to>
          <xdr:col>16</xdr:col>
          <xdr:colOff>502920</xdr:colOff>
          <xdr:row>3</xdr:row>
          <xdr:rowOff>243840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0</xdr:colOff>
          <xdr:row>12</xdr:row>
          <xdr:rowOff>0</xdr:rowOff>
        </xdr:from>
        <xdr:to>
          <xdr:col>14</xdr:col>
          <xdr:colOff>617220</xdr:colOff>
          <xdr:row>12</xdr:row>
          <xdr:rowOff>236220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1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388620</xdr:colOff>
          <xdr:row>12</xdr:row>
          <xdr:rowOff>7620</xdr:rowOff>
        </xdr:from>
        <xdr:to>
          <xdr:col>17</xdr:col>
          <xdr:colOff>487680</xdr:colOff>
          <xdr:row>12</xdr:row>
          <xdr:rowOff>228600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1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990600</xdr:colOff>
          <xdr:row>12</xdr:row>
          <xdr:rowOff>7620</xdr:rowOff>
        </xdr:from>
        <xdr:to>
          <xdr:col>16</xdr:col>
          <xdr:colOff>68580</xdr:colOff>
          <xdr:row>12</xdr:row>
          <xdr:rowOff>228600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1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381000</xdr:colOff>
          <xdr:row>12</xdr:row>
          <xdr:rowOff>7620</xdr:rowOff>
        </xdr:from>
        <xdr:to>
          <xdr:col>13</xdr:col>
          <xdr:colOff>335280</xdr:colOff>
          <xdr:row>12</xdr:row>
          <xdr:rowOff>228600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1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7620</xdr:colOff>
          <xdr:row>12</xdr:row>
          <xdr:rowOff>7620</xdr:rowOff>
        </xdr:from>
        <xdr:to>
          <xdr:col>19</xdr:col>
          <xdr:colOff>350520</xdr:colOff>
          <xdr:row>12</xdr:row>
          <xdr:rowOff>228600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1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18288" tIns="0" rIns="0" bIns="0" anchor="t" upright="1"/>
            <a:lstStyle/>
            <a:p>
              <a:pPr algn="l" rtl="0">
                <a:defRPr sz="1000"/>
              </a:pPr>
              <a:endParaRPr lang="en-PH"/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44</xdr:row>
          <xdr:rowOff>160020</xdr:rowOff>
        </xdr:from>
        <xdr:to>
          <xdr:col>2</xdr:col>
          <xdr:colOff>2781300</xdr:colOff>
          <xdr:row>45</xdr:row>
          <xdr:rowOff>144780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1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APPROVED DRAWING  (ENGINEERING)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281940</xdr:colOff>
          <xdr:row>45</xdr:row>
          <xdr:rowOff>137160</xdr:rowOff>
        </xdr:from>
        <xdr:to>
          <xdr:col>2</xdr:col>
          <xdr:colOff>2811780</xdr:colOff>
          <xdr:row>46</xdr:row>
          <xdr:rowOff>38100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1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PURCHASE REQUEST SHEET    (ENGINEERING)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43</xdr:row>
          <xdr:rowOff>129540</xdr:rowOff>
        </xdr:from>
        <xdr:to>
          <xdr:col>2</xdr:col>
          <xdr:colOff>3611880</xdr:colOff>
          <xdr:row>45</xdr:row>
          <xdr:rowOff>30480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1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QUOTATION (TO END CUSTOMER)   S.E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46</xdr:row>
          <xdr:rowOff>38100</xdr:rowOff>
        </xdr:from>
        <xdr:to>
          <xdr:col>2</xdr:col>
          <xdr:colOff>3002280</xdr:colOff>
          <xdr:row>46</xdr:row>
          <xdr:rowOff>243840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1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PURCHASE ORDERS   (PURCHASING)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46</xdr:row>
          <xdr:rowOff>228600</xdr:rowOff>
        </xdr:from>
        <xdr:to>
          <xdr:col>2</xdr:col>
          <xdr:colOff>2987040</xdr:colOff>
          <xdr:row>47</xdr:row>
          <xdr:rowOff>129540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1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DELIVERY RECIEPTS   (COORDINATOR)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47</xdr:row>
          <xdr:rowOff>129540</xdr:rowOff>
        </xdr:from>
        <xdr:to>
          <xdr:col>2</xdr:col>
          <xdr:colOff>3649980</xdr:colOff>
          <xdr:row>48</xdr:row>
          <xdr:rowOff>106680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1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SALES INVOICES (ACCOUNTING)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absolute">
        <xdr:from>
          <xdr:col>0</xdr:col>
          <xdr:colOff>274320</xdr:colOff>
          <xdr:row>43</xdr:row>
          <xdr:rowOff>7620</xdr:rowOff>
        </xdr:from>
        <xdr:to>
          <xdr:col>2</xdr:col>
          <xdr:colOff>2689860</xdr:colOff>
          <xdr:row>44</xdr:row>
          <xdr:rowOff>7620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1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36576" tIns="27432" rIns="0" bIns="27432" anchor="ctr" upright="1"/>
            <a:lstStyle/>
            <a:p>
              <a:pPr algn="l" rtl="0">
                <a:defRPr sz="1000"/>
              </a:pPr>
              <a:r>
                <a:rPr lang="en-PH" sz="1000" b="0" i="0" u="none" strike="noStrike" baseline="0">
                  <a:solidFill>
                    <a:srgbClr val="000000"/>
                  </a:solidFill>
                  <a:latin typeface="Arial"/>
                  <a:cs typeface="Arial"/>
                </a:rPr>
                <a:t>PURCHASE ORDER (NTP / NOA)  S.E</a:t>
              </a:r>
            </a:p>
          </xdr:txBody>
        </xdr:sp>
        <xdr:clientData fLocksWithSheet="0"/>
      </xdr:twoCellAnchor>
    </mc:Choice>
    <mc:Fallback/>
  </mc:AlternateContent>
  <xdr:twoCellAnchor editAs="oneCell">
    <xdr:from>
      <xdr:col>9</xdr:col>
      <xdr:colOff>500380</xdr:colOff>
      <xdr:row>39</xdr:row>
      <xdr:rowOff>164465</xdr:rowOff>
    </xdr:from>
    <xdr:to>
      <xdr:col>10</xdr:col>
      <xdr:colOff>364490</xdr:colOff>
      <xdr:row>43</xdr:row>
      <xdr:rowOff>30480</xdr:rowOff>
    </xdr:to>
    <xdr:pic>
      <xdr:nvPicPr>
        <xdr:cNvPr id="22" name="Picture 21" descr="IMG_20250420_105749-removebg-preview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49820" y="9729470"/>
          <a:ext cx="1130935" cy="822325"/>
        </a:xfrm>
        <a:prstGeom prst="rect">
          <a:avLst/>
        </a:prstGeom>
      </xdr:spPr>
    </xdr:pic>
    <xdr:clientData/>
  </xdr:twoCellAnchor>
  <xdr:twoCellAnchor>
    <xdr:from>
      <xdr:col>2</xdr:col>
      <xdr:colOff>2533650</xdr:colOff>
      <xdr:row>45</xdr:row>
      <xdr:rowOff>279400</xdr:rowOff>
    </xdr:from>
    <xdr:to>
      <xdr:col>8</xdr:col>
      <xdr:colOff>438150</xdr:colOff>
      <xdr:row>48</xdr:row>
      <xdr:rowOff>231775</xdr:rowOff>
    </xdr:to>
    <xdr:sp macro="" textlink="">
      <xdr:nvSpPr>
        <xdr:cNvPr id="23" name="Text Box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 txBox="1"/>
      </xdr:nvSpPr>
      <xdr:spPr>
        <a:xfrm>
          <a:off x="3489325" y="11219815"/>
          <a:ext cx="2142490" cy="70104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>
          <a:noAutofit/>
        </a:bodyPr>
        <a:lstStyle>
          <a:defPPr>
            <a:defRPr lang="en-US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en-US" sz="1100" b="1"/>
            <a:t>PRODUCTION: _______________</a:t>
          </a:r>
        </a:p>
        <a:p>
          <a:pPr algn="l"/>
          <a:endParaRPr lang="en-US" sz="1100" b="1"/>
        </a:p>
        <a:p>
          <a:pPr algn="l"/>
          <a:r>
            <a:rPr lang="en-US" sz="1100" b="1"/>
            <a:t>QA / QC: ____________________</a:t>
          </a:r>
        </a:p>
      </xdr:txBody>
    </xdr:sp>
    <xdr:clientData/>
  </xdr:twoCellAnchor>
  <xdr:twoCellAnchor editAs="oneCell">
    <xdr:from>
      <xdr:col>0</xdr:col>
      <xdr:colOff>0</xdr:colOff>
      <xdr:row>0</xdr:row>
      <xdr:rowOff>64262</xdr:rowOff>
    </xdr:from>
    <xdr:to>
      <xdr:col>3</xdr:col>
      <xdr:colOff>173990</xdr:colOff>
      <xdr:row>1</xdr:row>
      <xdr:rowOff>266192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135"/>
          <a:ext cx="5048885" cy="3638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15</xdr:row>
      <xdr:rowOff>114300</xdr:rowOff>
    </xdr:from>
    <xdr:to>
      <xdr:col>2</xdr:col>
      <xdr:colOff>600075</xdr:colOff>
      <xdr:row>17</xdr:row>
      <xdr:rowOff>95250</xdr:rowOff>
    </xdr:to>
    <xdr:sp macro="" textlink="">
      <xdr:nvSpPr>
        <xdr:cNvPr id="15429" name="AutoShape 1">
          <a:extLst>
            <a:ext uri="{FF2B5EF4-FFF2-40B4-BE49-F238E27FC236}">
              <a16:creationId xmlns:a16="http://schemas.microsoft.com/office/drawing/2014/main" id="{00000000-0008-0000-0300-0000453C0000}"/>
            </a:ext>
          </a:extLst>
        </xdr:cNvPr>
        <xdr:cNvSpPr>
          <a:spLocks noChangeArrowheads="1"/>
        </xdr:cNvSpPr>
      </xdr:nvSpPr>
      <xdr:spPr>
        <a:xfrm>
          <a:off x="3794125" y="2543175"/>
          <a:ext cx="561975" cy="304800"/>
        </a:xfrm>
        <a:prstGeom prst="rightArrow">
          <a:avLst>
            <a:gd name="adj1" fmla="val 50000"/>
            <a:gd name="adj2" fmla="val 46094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5</xdr:col>
      <xdr:colOff>38100</xdr:colOff>
      <xdr:row>15</xdr:row>
      <xdr:rowOff>104775</xdr:rowOff>
    </xdr:from>
    <xdr:to>
      <xdr:col>5</xdr:col>
      <xdr:colOff>600075</xdr:colOff>
      <xdr:row>17</xdr:row>
      <xdr:rowOff>85725</xdr:rowOff>
    </xdr:to>
    <xdr:sp macro="" textlink="">
      <xdr:nvSpPr>
        <xdr:cNvPr id="15430" name="AutoShape 2">
          <a:extLst>
            <a:ext uri="{FF2B5EF4-FFF2-40B4-BE49-F238E27FC236}">
              <a16:creationId xmlns:a16="http://schemas.microsoft.com/office/drawing/2014/main" id="{00000000-0008-0000-0300-0000463C0000}"/>
            </a:ext>
          </a:extLst>
        </xdr:cNvPr>
        <xdr:cNvSpPr>
          <a:spLocks noChangeArrowheads="1"/>
        </xdr:cNvSpPr>
      </xdr:nvSpPr>
      <xdr:spPr>
        <a:xfrm>
          <a:off x="8157210" y="2533650"/>
          <a:ext cx="561975" cy="304800"/>
        </a:xfrm>
        <a:prstGeom prst="rightArrow">
          <a:avLst>
            <a:gd name="adj1" fmla="val 50000"/>
            <a:gd name="adj2" fmla="val 46094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 /><Relationship Id="rId13" Type="http://schemas.openxmlformats.org/officeDocument/2006/relationships/ctrlProp" Target="../ctrlProps/ctrlProp10.xml" /><Relationship Id="rId18" Type="http://schemas.openxmlformats.org/officeDocument/2006/relationships/ctrlProp" Target="../ctrlProps/ctrlProp15.xml" /><Relationship Id="rId3" Type="http://schemas.openxmlformats.org/officeDocument/2006/relationships/vmlDrawing" Target="../drawings/vmlDrawing1.vml" /><Relationship Id="rId7" Type="http://schemas.openxmlformats.org/officeDocument/2006/relationships/ctrlProp" Target="../ctrlProps/ctrlProp4.xml" /><Relationship Id="rId12" Type="http://schemas.openxmlformats.org/officeDocument/2006/relationships/ctrlProp" Target="../ctrlProps/ctrlProp9.xml" /><Relationship Id="rId17" Type="http://schemas.openxmlformats.org/officeDocument/2006/relationships/ctrlProp" Target="../ctrlProps/ctrlProp14.xml" /><Relationship Id="rId2" Type="http://schemas.openxmlformats.org/officeDocument/2006/relationships/drawing" Target="../drawings/drawing1.xml" /><Relationship Id="rId16" Type="http://schemas.openxmlformats.org/officeDocument/2006/relationships/ctrlProp" Target="../ctrlProps/ctrlProp13.xml" /><Relationship Id="rId20" Type="http://schemas.openxmlformats.org/officeDocument/2006/relationships/comments" Target="../comments1.xml" /><Relationship Id="rId1" Type="http://schemas.openxmlformats.org/officeDocument/2006/relationships/printerSettings" Target="../printerSettings/printerSettings1.bin" /><Relationship Id="rId6" Type="http://schemas.openxmlformats.org/officeDocument/2006/relationships/ctrlProp" Target="../ctrlProps/ctrlProp3.xml" /><Relationship Id="rId11" Type="http://schemas.openxmlformats.org/officeDocument/2006/relationships/ctrlProp" Target="../ctrlProps/ctrlProp8.xml" /><Relationship Id="rId5" Type="http://schemas.openxmlformats.org/officeDocument/2006/relationships/ctrlProp" Target="../ctrlProps/ctrlProp2.xml" /><Relationship Id="rId15" Type="http://schemas.openxmlformats.org/officeDocument/2006/relationships/ctrlProp" Target="../ctrlProps/ctrlProp12.xml" /><Relationship Id="rId10" Type="http://schemas.openxmlformats.org/officeDocument/2006/relationships/ctrlProp" Target="../ctrlProps/ctrlProp7.xml" /><Relationship Id="rId19" Type="http://schemas.openxmlformats.org/officeDocument/2006/relationships/ctrlProp" Target="../ctrlProps/ctrlProp16.xml" /><Relationship Id="rId4" Type="http://schemas.openxmlformats.org/officeDocument/2006/relationships/ctrlProp" Target="../ctrlProps/ctrlProp1.xml" /><Relationship Id="rId9" Type="http://schemas.openxmlformats.org/officeDocument/2006/relationships/ctrlProp" Target="../ctrlProps/ctrlProp6.xml" /><Relationship Id="rId14" Type="http://schemas.openxmlformats.org/officeDocument/2006/relationships/ctrlProp" Target="../ctrlProps/ctrlProp11.xml" 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1.xml" /><Relationship Id="rId13" Type="http://schemas.openxmlformats.org/officeDocument/2006/relationships/ctrlProp" Target="../ctrlProps/ctrlProp26.xml" /><Relationship Id="rId18" Type="http://schemas.openxmlformats.org/officeDocument/2006/relationships/ctrlProp" Target="../ctrlProps/ctrlProp31.xml" /><Relationship Id="rId3" Type="http://schemas.openxmlformats.org/officeDocument/2006/relationships/vmlDrawing" Target="../drawings/vmlDrawing2.vml" /><Relationship Id="rId7" Type="http://schemas.openxmlformats.org/officeDocument/2006/relationships/ctrlProp" Target="../ctrlProps/ctrlProp20.xml" /><Relationship Id="rId12" Type="http://schemas.openxmlformats.org/officeDocument/2006/relationships/ctrlProp" Target="../ctrlProps/ctrlProp25.xml" /><Relationship Id="rId17" Type="http://schemas.openxmlformats.org/officeDocument/2006/relationships/ctrlProp" Target="../ctrlProps/ctrlProp30.xml" /><Relationship Id="rId2" Type="http://schemas.openxmlformats.org/officeDocument/2006/relationships/drawing" Target="../drawings/drawing2.xml" /><Relationship Id="rId16" Type="http://schemas.openxmlformats.org/officeDocument/2006/relationships/ctrlProp" Target="../ctrlProps/ctrlProp29.xml" /><Relationship Id="rId20" Type="http://schemas.openxmlformats.org/officeDocument/2006/relationships/comments" Target="../comments2.xml" /><Relationship Id="rId1" Type="http://schemas.openxmlformats.org/officeDocument/2006/relationships/printerSettings" Target="../printerSettings/printerSettings2.bin" /><Relationship Id="rId6" Type="http://schemas.openxmlformats.org/officeDocument/2006/relationships/ctrlProp" Target="../ctrlProps/ctrlProp19.xml" /><Relationship Id="rId11" Type="http://schemas.openxmlformats.org/officeDocument/2006/relationships/ctrlProp" Target="../ctrlProps/ctrlProp24.xml" /><Relationship Id="rId5" Type="http://schemas.openxmlformats.org/officeDocument/2006/relationships/ctrlProp" Target="../ctrlProps/ctrlProp18.xml" /><Relationship Id="rId15" Type="http://schemas.openxmlformats.org/officeDocument/2006/relationships/ctrlProp" Target="../ctrlProps/ctrlProp28.xml" /><Relationship Id="rId10" Type="http://schemas.openxmlformats.org/officeDocument/2006/relationships/ctrlProp" Target="../ctrlProps/ctrlProp23.xml" /><Relationship Id="rId19" Type="http://schemas.openxmlformats.org/officeDocument/2006/relationships/ctrlProp" Target="../ctrlProps/ctrlProp32.xml" /><Relationship Id="rId4" Type="http://schemas.openxmlformats.org/officeDocument/2006/relationships/ctrlProp" Target="../ctrlProps/ctrlProp17.xml" /><Relationship Id="rId9" Type="http://schemas.openxmlformats.org/officeDocument/2006/relationships/ctrlProp" Target="../ctrlProps/ctrlProp22.xml" /><Relationship Id="rId14" Type="http://schemas.openxmlformats.org/officeDocument/2006/relationships/ctrlProp" Target="../ctrlProps/ctrlProp27.xml" 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7.xml" /><Relationship Id="rId13" Type="http://schemas.openxmlformats.org/officeDocument/2006/relationships/ctrlProp" Target="../ctrlProps/ctrlProp42.xml" /><Relationship Id="rId18" Type="http://schemas.openxmlformats.org/officeDocument/2006/relationships/ctrlProp" Target="../ctrlProps/ctrlProp47.xml" /><Relationship Id="rId3" Type="http://schemas.openxmlformats.org/officeDocument/2006/relationships/vmlDrawing" Target="../drawings/vmlDrawing3.vml" /><Relationship Id="rId7" Type="http://schemas.openxmlformats.org/officeDocument/2006/relationships/ctrlProp" Target="../ctrlProps/ctrlProp36.xml" /><Relationship Id="rId12" Type="http://schemas.openxmlformats.org/officeDocument/2006/relationships/ctrlProp" Target="../ctrlProps/ctrlProp41.xml" /><Relationship Id="rId17" Type="http://schemas.openxmlformats.org/officeDocument/2006/relationships/ctrlProp" Target="../ctrlProps/ctrlProp46.xml" /><Relationship Id="rId2" Type="http://schemas.openxmlformats.org/officeDocument/2006/relationships/drawing" Target="../drawings/drawing3.xml" /><Relationship Id="rId16" Type="http://schemas.openxmlformats.org/officeDocument/2006/relationships/ctrlProp" Target="../ctrlProps/ctrlProp45.xml" /><Relationship Id="rId20" Type="http://schemas.openxmlformats.org/officeDocument/2006/relationships/comments" Target="../comments3.xml" /><Relationship Id="rId1" Type="http://schemas.openxmlformats.org/officeDocument/2006/relationships/printerSettings" Target="../printerSettings/printerSettings3.bin" /><Relationship Id="rId6" Type="http://schemas.openxmlformats.org/officeDocument/2006/relationships/ctrlProp" Target="../ctrlProps/ctrlProp35.xml" /><Relationship Id="rId11" Type="http://schemas.openxmlformats.org/officeDocument/2006/relationships/ctrlProp" Target="../ctrlProps/ctrlProp40.xml" /><Relationship Id="rId5" Type="http://schemas.openxmlformats.org/officeDocument/2006/relationships/ctrlProp" Target="../ctrlProps/ctrlProp34.xml" /><Relationship Id="rId15" Type="http://schemas.openxmlformats.org/officeDocument/2006/relationships/ctrlProp" Target="../ctrlProps/ctrlProp44.xml" /><Relationship Id="rId10" Type="http://schemas.openxmlformats.org/officeDocument/2006/relationships/ctrlProp" Target="../ctrlProps/ctrlProp39.xml" /><Relationship Id="rId19" Type="http://schemas.openxmlformats.org/officeDocument/2006/relationships/ctrlProp" Target="../ctrlProps/ctrlProp48.xml" /><Relationship Id="rId4" Type="http://schemas.openxmlformats.org/officeDocument/2006/relationships/ctrlProp" Target="../ctrlProps/ctrlProp33.xml" /><Relationship Id="rId9" Type="http://schemas.openxmlformats.org/officeDocument/2006/relationships/ctrlProp" Target="../ctrlProps/ctrlProp38.xml" /><Relationship Id="rId14" Type="http://schemas.openxmlformats.org/officeDocument/2006/relationships/ctrlProp" Target="../ctrlProps/ctrlProp43.xml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32BE6-7811-49D6-8184-170D2F155DFE}">
  <sheetPr>
    <pageSetUpPr autoPageBreaks="0"/>
  </sheetPr>
  <dimension ref="A2:AL239"/>
  <sheetViews>
    <sheetView tabSelected="1" view="pageBreakPreview" topLeftCell="C1" zoomScale="70" zoomScaleNormal="78" workbookViewId="0">
      <selection activeCell="N47" sqref="N47:T47"/>
    </sheetView>
  </sheetViews>
  <sheetFormatPr defaultColWidth="9.03515625" defaultRowHeight="12.75" x14ac:dyDescent="0.15"/>
  <cols>
    <col min="1" max="1" width="4.71875" customWidth="1"/>
    <col min="2" max="2" width="9.70703125" customWidth="1"/>
    <col min="3" max="3" width="58.79296875" customWidth="1"/>
    <col min="4" max="4" width="4.71875" customWidth="1"/>
    <col min="5" max="5" width="7.01171875" hidden="1" customWidth="1"/>
    <col min="6" max="6" width="0.26953125" hidden="1" customWidth="1"/>
    <col min="7" max="7" width="0.1328125" hidden="1" customWidth="1"/>
    <col min="8" max="8" width="1.6171875" hidden="1" customWidth="1"/>
    <col min="9" max="9" width="26.29296875" customWidth="1"/>
    <col min="10" max="10" width="19.01171875" customWidth="1"/>
    <col min="11" max="11" width="10.65234375" customWidth="1"/>
    <col min="12" max="12" width="8.62890625" customWidth="1"/>
    <col min="13" max="13" width="4.71875" customWidth="1"/>
    <col min="14" max="14" width="10.65234375" customWidth="1"/>
    <col min="15" max="15" width="17.6640625" customWidth="1"/>
    <col min="16" max="16" width="9.70703125" customWidth="1"/>
    <col min="17" max="17" width="8.62890625" customWidth="1"/>
    <col min="18" max="18" width="11.8671875" customWidth="1"/>
    <col min="19" max="19" width="6.875" customWidth="1"/>
    <col min="20" max="20" width="15.37109375" customWidth="1"/>
    <col min="22" max="23" width="9.03515625" hidden="1" customWidth="1"/>
    <col min="24" max="24" width="9.16796875" hidden="1" customWidth="1"/>
    <col min="25" max="25" width="19.8203125" hidden="1" customWidth="1"/>
    <col min="26" max="26" width="40.05078125" hidden="1" customWidth="1"/>
    <col min="27" max="27" width="9.16796875" hidden="1" customWidth="1"/>
    <col min="29" max="29" width="9.4375" customWidth="1"/>
  </cols>
  <sheetData>
    <row r="2" spans="1:38" ht="24" customHeight="1" thickBot="1" x14ac:dyDescent="0.2">
      <c r="C2" s="8"/>
      <c r="I2" s="67" t="s">
        <v>0</v>
      </c>
      <c r="J2" s="67"/>
      <c r="K2" s="68"/>
      <c r="L2" s="67"/>
      <c r="N2" s="69"/>
      <c r="P2" s="67"/>
      <c r="S2" s="243"/>
      <c r="T2" s="243"/>
    </row>
    <row r="3" spans="1:38" s="2" customFormat="1" ht="20.100000000000001" customHeight="1" thickBot="1" x14ac:dyDescent="0.2">
      <c r="A3" s="15"/>
      <c r="B3" s="16"/>
      <c r="C3" s="244"/>
      <c r="D3" s="244"/>
      <c r="E3" s="17"/>
      <c r="F3" s="17"/>
      <c r="G3" s="17"/>
      <c r="H3" s="18"/>
      <c r="I3" s="59" t="s">
        <v>1</v>
      </c>
      <c r="J3" s="70" t="s">
        <v>2</v>
      </c>
      <c r="K3" s="70"/>
      <c r="L3" s="70"/>
      <c r="M3" s="70"/>
      <c r="N3" s="70"/>
      <c r="O3" s="70"/>
      <c r="P3" s="70"/>
      <c r="Q3" s="70"/>
      <c r="R3" s="108" t="s">
        <v>3</v>
      </c>
      <c r="S3" s="240" t="s">
        <v>193</v>
      </c>
      <c r="T3" s="240"/>
    </row>
    <row r="4" spans="1:38" s="2" customFormat="1" ht="20.100000000000001" customHeight="1" x14ac:dyDescent="0.15">
      <c r="A4" s="19" t="s">
        <v>4</v>
      </c>
      <c r="B4" s="20"/>
      <c r="C4" s="21" t="s">
        <v>186</v>
      </c>
      <c r="D4" s="22"/>
      <c r="E4" s="23"/>
      <c r="F4" s="23"/>
      <c r="G4" s="23"/>
      <c r="H4" s="24"/>
      <c r="I4" s="71" t="s">
        <v>5</v>
      </c>
      <c r="J4" s="72" t="s">
        <v>6</v>
      </c>
      <c r="K4" s="245" t="s">
        <v>7</v>
      </c>
      <c r="L4" s="245"/>
      <c r="M4" s="73"/>
      <c r="N4" s="246" t="s">
        <v>8</v>
      </c>
      <c r="O4" s="246"/>
      <c r="P4" s="73" t="s">
        <v>9</v>
      </c>
      <c r="Q4" s="112"/>
      <c r="R4" s="112"/>
      <c r="S4" s="247"/>
      <c r="T4" s="248"/>
    </row>
    <row r="5" spans="1:38" s="2" customFormat="1" ht="20.100000000000001" customHeight="1" x14ac:dyDescent="0.15">
      <c r="A5" s="19" t="s">
        <v>10</v>
      </c>
      <c r="B5" s="20"/>
      <c r="C5" s="25" t="s">
        <v>188</v>
      </c>
      <c r="D5" s="26"/>
      <c r="E5" s="26"/>
      <c r="F5" s="26"/>
      <c r="G5" s="26"/>
      <c r="H5" s="27"/>
      <c r="I5" s="74" t="s">
        <v>11</v>
      </c>
      <c r="J5" s="2" t="s">
        <v>25</v>
      </c>
      <c r="K5" s="75"/>
      <c r="L5" s="75"/>
      <c r="M5" s="75"/>
      <c r="N5" s="75"/>
      <c r="O5" s="75"/>
      <c r="P5" s="234"/>
      <c r="Q5" s="234"/>
      <c r="R5" s="234"/>
      <c r="S5" s="234"/>
      <c r="T5" s="235"/>
    </row>
    <row r="6" spans="1:38" s="2" customFormat="1" ht="15" x14ac:dyDescent="0.15">
      <c r="A6" s="19" t="s">
        <v>13</v>
      </c>
      <c r="B6" s="28"/>
      <c r="C6" s="26" t="s">
        <v>187</v>
      </c>
      <c r="D6" s="26"/>
      <c r="E6" s="26"/>
      <c r="F6" s="26"/>
      <c r="G6" s="26"/>
      <c r="H6" s="24"/>
      <c r="I6" s="74" t="s">
        <v>14</v>
      </c>
      <c r="J6" s="236">
        <v>8000</v>
      </c>
      <c r="K6" s="236"/>
      <c r="L6" s="76"/>
      <c r="M6" s="77"/>
      <c r="N6" s="78"/>
      <c r="O6" s="79"/>
      <c r="P6" s="14"/>
      <c r="Q6" s="14"/>
      <c r="R6" s="237"/>
      <c r="S6" s="237"/>
      <c r="T6" s="113"/>
    </row>
    <row r="7" spans="1:38" s="2" customFormat="1" ht="20.100000000000001" customHeight="1" x14ac:dyDescent="0.15">
      <c r="A7" s="29"/>
      <c r="B7" s="20"/>
      <c r="C7" s="26"/>
      <c r="D7" s="30"/>
      <c r="E7" s="30"/>
      <c r="F7" s="30"/>
      <c r="G7" s="30"/>
      <c r="H7" s="24"/>
      <c r="I7" s="74" t="s">
        <v>15</v>
      </c>
      <c r="J7" s="238" t="s">
        <v>106</v>
      </c>
      <c r="K7" s="239"/>
      <c r="L7" s="39"/>
      <c r="M7" s="39" t="s">
        <v>16</v>
      </c>
      <c r="N7" s="240" t="s">
        <v>181</v>
      </c>
      <c r="O7" s="240"/>
      <c r="P7" s="14" t="s">
        <v>17</v>
      </c>
      <c r="Q7" s="14"/>
      <c r="R7" s="114">
        <v>26618</v>
      </c>
      <c r="S7" s="115"/>
      <c r="T7" s="116"/>
    </row>
    <row r="8" spans="1:38" s="2" customFormat="1" ht="20.100000000000001" customHeight="1" x14ac:dyDescent="0.15">
      <c r="A8" s="19" t="s">
        <v>18</v>
      </c>
      <c r="B8" s="20"/>
      <c r="C8" s="8" t="s">
        <v>189</v>
      </c>
      <c r="D8" s="31"/>
      <c r="E8" s="31"/>
      <c r="F8" s="31"/>
      <c r="G8" s="31"/>
      <c r="H8" s="32"/>
      <c r="I8" s="74" t="s">
        <v>19</v>
      </c>
      <c r="J8" s="80" t="s">
        <v>194</v>
      </c>
      <c r="K8" s="81"/>
      <c r="L8" s="82"/>
      <c r="M8" s="14"/>
      <c r="N8" s="14"/>
      <c r="O8" s="78"/>
      <c r="P8" s="78"/>
      <c r="Q8" s="78"/>
      <c r="R8" s="39"/>
      <c r="S8" s="78"/>
      <c r="T8" s="117"/>
    </row>
    <row r="9" spans="1:38" s="2" customFormat="1" ht="20.100000000000001" customHeight="1" x14ac:dyDescent="0.15">
      <c r="A9" s="19" t="s">
        <v>20</v>
      </c>
      <c r="B9" s="33"/>
      <c r="C9" s="34"/>
      <c r="D9" s="26"/>
      <c r="E9" s="26"/>
      <c r="F9" s="35"/>
      <c r="G9" s="35"/>
      <c r="H9" s="27"/>
      <c r="I9" s="74" t="s">
        <v>21</v>
      </c>
      <c r="J9" s="83" t="s">
        <v>22</v>
      </c>
      <c r="K9" s="14" t="s">
        <v>23</v>
      </c>
      <c r="L9" s="39" t="s">
        <v>24</v>
      </c>
      <c r="M9" s="84"/>
      <c r="N9" s="84"/>
      <c r="O9" s="84"/>
      <c r="P9" s="84"/>
      <c r="Q9" s="118"/>
      <c r="R9" s="39"/>
      <c r="S9" s="87"/>
      <c r="T9" s="119"/>
      <c r="AD9" s="2" t="s">
        <v>25</v>
      </c>
    </row>
    <row r="10" spans="1:38" s="2" customFormat="1" ht="20.100000000000001" customHeight="1" x14ac:dyDescent="0.15">
      <c r="A10" s="19"/>
      <c r="B10" s="28"/>
      <c r="C10" s="26"/>
      <c r="D10" s="26"/>
      <c r="E10" s="26"/>
      <c r="F10" s="35"/>
      <c r="G10" s="35"/>
      <c r="H10" s="24"/>
      <c r="I10" s="19" t="s">
        <v>26</v>
      </c>
      <c r="J10" s="85" t="s">
        <v>22</v>
      </c>
      <c r="K10" s="14" t="s">
        <v>23</v>
      </c>
      <c r="L10" s="39" t="s">
        <v>27</v>
      </c>
      <c r="M10" s="35"/>
      <c r="N10" s="35"/>
      <c r="O10" s="35"/>
      <c r="P10" s="35"/>
      <c r="Q10" s="118"/>
      <c r="R10" s="39"/>
      <c r="S10" s="87"/>
      <c r="T10" s="119"/>
    </row>
    <row r="11" spans="1:38" s="2" customFormat="1" ht="17.25" x14ac:dyDescent="0.25">
      <c r="A11" s="19" t="s">
        <v>28</v>
      </c>
      <c r="B11" s="36"/>
      <c r="C11" s="143" t="s">
        <v>190</v>
      </c>
      <c r="D11" s="38"/>
      <c r="E11" s="38"/>
      <c r="F11" s="39"/>
      <c r="G11" s="40"/>
      <c r="H11" s="24"/>
      <c r="I11" s="19"/>
      <c r="J11" s="86"/>
      <c r="L11" s="39"/>
      <c r="M11" s="241"/>
      <c r="N11" s="241"/>
      <c r="O11" s="60"/>
      <c r="P11" s="242"/>
      <c r="Q11" s="242"/>
      <c r="R11" s="39"/>
      <c r="S11" s="120"/>
      <c r="T11" s="121"/>
      <c r="AD11" s="21" t="s">
        <v>29</v>
      </c>
      <c r="AL11" s="21" t="s">
        <v>30</v>
      </c>
    </row>
    <row r="12" spans="1:38" s="2" customFormat="1" ht="20.100000000000001" customHeight="1" x14ac:dyDescent="0.15">
      <c r="A12" s="19" t="s">
        <v>31</v>
      </c>
      <c r="B12" s="41"/>
      <c r="C12" s="42" t="s">
        <v>191</v>
      </c>
      <c r="D12" s="43"/>
      <c r="E12" s="43"/>
      <c r="F12" s="39"/>
      <c r="G12" s="26"/>
      <c r="H12" s="24"/>
      <c r="I12" s="74"/>
      <c r="J12" s="229"/>
      <c r="K12" s="229"/>
      <c r="L12" s="88"/>
      <c r="M12" s="89"/>
      <c r="N12" s="39"/>
      <c r="O12" s="89"/>
      <c r="P12" s="89"/>
      <c r="Q12" s="14"/>
      <c r="R12" s="60"/>
      <c r="S12" s="88"/>
      <c r="T12" s="122"/>
      <c r="AD12" s="25" t="s">
        <v>32</v>
      </c>
      <c r="AL12" s="25" t="s">
        <v>33</v>
      </c>
    </row>
    <row r="13" spans="1:38" s="2" customFormat="1" ht="20.100000000000001" customHeight="1" x14ac:dyDescent="0.15">
      <c r="A13" s="19" t="s">
        <v>34</v>
      </c>
      <c r="B13" s="20"/>
      <c r="C13" s="44" t="s">
        <v>192</v>
      </c>
      <c r="D13" s="26"/>
      <c r="E13" s="26"/>
      <c r="F13" s="45"/>
      <c r="G13" s="45"/>
      <c r="H13" s="24"/>
      <c r="I13" s="74" t="s">
        <v>35</v>
      </c>
      <c r="J13" s="229"/>
      <c r="K13" s="229"/>
      <c r="L13" s="88"/>
      <c r="M13" s="89" t="s">
        <v>36</v>
      </c>
      <c r="N13" s="39"/>
      <c r="O13" s="89" t="s">
        <v>37</v>
      </c>
      <c r="P13" s="14" t="s">
        <v>38</v>
      </c>
      <c r="Q13" s="88"/>
      <c r="R13" s="14" t="s">
        <v>39</v>
      </c>
      <c r="S13" s="14" t="s">
        <v>40</v>
      </c>
      <c r="T13" s="123"/>
      <c r="AD13" s="26"/>
      <c r="AL13" s="26" t="s">
        <v>41</v>
      </c>
    </row>
    <row r="14" spans="1:38" s="2" customFormat="1" ht="20.100000000000001" customHeight="1" x14ac:dyDescent="0.15">
      <c r="A14" s="46"/>
      <c r="C14" s="47"/>
      <c r="D14" s="26"/>
      <c r="E14" s="26"/>
      <c r="F14" s="30"/>
      <c r="G14" s="30"/>
      <c r="H14" s="24"/>
      <c r="I14" s="90"/>
      <c r="J14" s="91"/>
      <c r="L14" s="92"/>
      <c r="M14" s="230"/>
      <c r="N14" s="230"/>
      <c r="O14" s="89"/>
      <c r="P14" s="229"/>
      <c r="Q14" s="229"/>
      <c r="R14" s="229"/>
      <c r="S14" s="229"/>
      <c r="T14" s="231"/>
      <c r="AD14" s="26"/>
      <c r="AL14" s="26"/>
    </row>
    <row r="15" spans="1:38" s="2" customFormat="1" ht="20.100000000000001" customHeight="1" thickBot="1" x14ac:dyDescent="0.2">
      <c r="A15" s="19" t="s">
        <v>42</v>
      </c>
      <c r="B15" s="28"/>
      <c r="C15" s="48"/>
      <c r="D15" s="49"/>
      <c r="E15" s="49"/>
      <c r="F15" s="49"/>
      <c r="G15" s="49"/>
      <c r="H15" s="50"/>
      <c r="I15" s="74"/>
      <c r="J15" s="87"/>
      <c r="K15" s="13"/>
      <c r="L15" s="92"/>
      <c r="M15" s="232"/>
      <c r="N15" s="233"/>
      <c r="O15" s="93"/>
      <c r="P15" s="229"/>
      <c r="Q15" s="229"/>
      <c r="R15" s="229"/>
      <c r="S15" s="229"/>
      <c r="T15" s="231"/>
      <c r="AD15" s="8" t="s">
        <v>43</v>
      </c>
      <c r="AL15" s="8" t="s">
        <v>44</v>
      </c>
    </row>
    <row r="16" spans="1:38" s="9" customFormat="1" ht="20.100000000000001" customHeight="1" x14ac:dyDescent="0.15">
      <c r="A16" s="207" t="s">
        <v>45</v>
      </c>
      <c r="B16" s="208"/>
      <c r="C16" s="208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10"/>
      <c r="AD16" s="34" t="s">
        <v>46</v>
      </c>
      <c r="AL16" s="34" t="s">
        <v>47</v>
      </c>
    </row>
    <row r="17" spans="1:38" s="2" customFormat="1" ht="17.100000000000001" customHeight="1" thickBot="1" x14ac:dyDescent="0.2">
      <c r="A17" s="211" t="s">
        <v>48</v>
      </c>
      <c r="B17" s="213" t="s">
        <v>49</v>
      </c>
      <c r="C17" s="214"/>
      <c r="D17" s="217" t="s">
        <v>50</v>
      </c>
      <c r="E17" s="217"/>
      <c r="F17" s="217"/>
      <c r="G17" s="217"/>
      <c r="H17" s="217"/>
      <c r="I17" s="217"/>
      <c r="J17" s="217"/>
      <c r="K17" s="217"/>
      <c r="L17" s="217"/>
      <c r="M17" s="46"/>
      <c r="N17" s="94"/>
      <c r="O17" s="219"/>
      <c r="P17" s="219"/>
      <c r="Q17" s="220"/>
      <c r="R17" s="221"/>
      <c r="S17" s="219"/>
      <c r="T17" s="220"/>
      <c r="AD17" s="26"/>
      <c r="AL17" s="26"/>
    </row>
    <row r="18" spans="1:38" s="10" customFormat="1" ht="15" customHeight="1" thickBot="1" x14ac:dyDescent="0.3">
      <c r="A18" s="212"/>
      <c r="B18" s="215"/>
      <c r="C18" s="216"/>
      <c r="D18" s="218"/>
      <c r="E18" s="218"/>
      <c r="F18" s="218"/>
      <c r="G18" s="218"/>
      <c r="H18" s="218"/>
      <c r="I18" s="218"/>
      <c r="J18" s="218"/>
      <c r="K18" s="218"/>
      <c r="L18" s="218"/>
      <c r="M18" s="222" t="s">
        <v>51</v>
      </c>
      <c r="N18" s="223"/>
      <c r="O18" s="95" t="s">
        <v>52</v>
      </c>
      <c r="P18" s="224" t="s">
        <v>53</v>
      </c>
      <c r="Q18" s="225"/>
      <c r="R18" s="226" t="s">
        <v>54</v>
      </c>
      <c r="S18" s="227"/>
      <c r="T18" s="228"/>
      <c r="Y18" s="8" t="s">
        <v>55</v>
      </c>
      <c r="AD18" s="37" t="s">
        <v>56</v>
      </c>
      <c r="AL18" s="133" t="s">
        <v>57</v>
      </c>
    </row>
    <row r="19" spans="1:38" s="11" customFormat="1" ht="8.25" customHeight="1" x14ac:dyDescent="0.15">
      <c r="A19" s="51"/>
      <c r="B19" s="198"/>
      <c r="C19" s="199"/>
      <c r="D19" s="200"/>
      <c r="E19" s="201"/>
      <c r="F19" s="201"/>
      <c r="G19" s="201"/>
      <c r="H19" s="201"/>
      <c r="I19" s="201"/>
      <c r="J19" s="201"/>
      <c r="K19" s="201"/>
      <c r="L19" s="202"/>
      <c r="M19" s="203"/>
      <c r="N19" s="204"/>
      <c r="O19" s="96"/>
      <c r="P19" s="205"/>
      <c r="Q19" s="206"/>
      <c r="R19" s="124"/>
      <c r="S19" s="125"/>
      <c r="T19" s="126"/>
      <c r="Y19" t="s">
        <v>58</v>
      </c>
      <c r="Z19" s="132" t="s">
        <v>59</v>
      </c>
      <c r="AD19" s="42" t="s">
        <v>60</v>
      </c>
      <c r="AL19" s="42" t="s">
        <v>61</v>
      </c>
    </row>
    <row r="20" spans="1:38" s="11" customFormat="1" ht="20.100000000000001" customHeight="1" x14ac:dyDescent="0.2">
      <c r="A20" s="52">
        <v>1</v>
      </c>
      <c r="B20" s="168"/>
      <c r="C20" s="193"/>
      <c r="D20" s="194" t="s">
        <v>189</v>
      </c>
      <c r="E20" s="195"/>
      <c r="F20" s="195"/>
      <c r="G20" s="195"/>
      <c r="H20" s="195"/>
      <c r="I20" s="195"/>
      <c r="J20" s="195"/>
      <c r="K20" s="195"/>
      <c r="L20" s="195"/>
      <c r="M20" s="168">
        <v>1</v>
      </c>
      <c r="N20" s="169"/>
      <c r="O20" s="97" t="s">
        <v>110</v>
      </c>
      <c r="P20" s="187">
        <v>8000</v>
      </c>
      <c r="Q20" s="188"/>
      <c r="R20" s="172">
        <f>P20*M20</f>
        <v>8000</v>
      </c>
      <c r="S20" s="173"/>
      <c r="T20" s="174"/>
      <c r="Y20" t="s">
        <v>62</v>
      </c>
      <c r="Z20" t="s">
        <v>63</v>
      </c>
      <c r="AD20" s="44" t="s">
        <v>64</v>
      </c>
      <c r="AL20" s="44" t="s">
        <v>47</v>
      </c>
    </row>
    <row r="21" spans="1:38" s="11" customFormat="1" ht="20.100000000000001" customHeight="1" x14ac:dyDescent="0.2">
      <c r="A21" s="52">
        <v>2</v>
      </c>
      <c r="B21" s="168"/>
      <c r="C21" s="193"/>
      <c r="D21" s="194"/>
      <c r="E21" s="195"/>
      <c r="F21" s="195"/>
      <c r="G21" s="195"/>
      <c r="H21" s="195"/>
      <c r="I21" s="195"/>
      <c r="J21" s="195"/>
      <c r="K21" s="195"/>
      <c r="L21" s="195"/>
      <c r="M21" s="168"/>
      <c r="N21" s="169"/>
      <c r="O21" s="97"/>
      <c r="P21" s="187"/>
      <c r="Q21" s="188"/>
      <c r="R21" s="172"/>
      <c r="S21" s="173"/>
      <c r="T21" s="174"/>
      <c r="Y21" t="s">
        <v>65</v>
      </c>
      <c r="Z21" t="s">
        <v>66</v>
      </c>
      <c r="AD21" s="47" t="s">
        <v>67</v>
      </c>
    </row>
    <row r="22" spans="1:38" s="11" customFormat="1" ht="20.100000000000001" customHeight="1" x14ac:dyDescent="0.2">
      <c r="A22" s="52">
        <v>3</v>
      </c>
      <c r="B22" s="196"/>
      <c r="C22" s="197"/>
      <c r="D22" s="194"/>
      <c r="E22" s="195"/>
      <c r="F22" s="195"/>
      <c r="G22" s="195"/>
      <c r="H22" s="195"/>
      <c r="I22" s="195"/>
      <c r="J22" s="195"/>
      <c r="K22" s="195"/>
      <c r="L22" s="195"/>
      <c r="M22" s="168"/>
      <c r="N22" s="169"/>
      <c r="O22" s="97"/>
      <c r="P22" s="187"/>
      <c r="Q22" s="188"/>
      <c r="R22" s="172"/>
      <c r="S22" s="173"/>
      <c r="T22" s="174"/>
      <c r="Y22" t="s">
        <v>68</v>
      </c>
      <c r="Z22"/>
      <c r="AL22" s="21" t="s">
        <v>69</v>
      </c>
    </row>
    <row r="23" spans="1:38" s="11" customFormat="1" ht="20.100000000000001" customHeight="1" thickBot="1" x14ac:dyDescent="0.25">
      <c r="A23" s="52">
        <v>4</v>
      </c>
      <c r="B23" s="168"/>
      <c r="C23" s="193"/>
      <c r="D23" s="194"/>
      <c r="E23" s="195"/>
      <c r="F23" s="195"/>
      <c r="G23" s="195"/>
      <c r="H23" s="195"/>
      <c r="I23" s="195"/>
      <c r="J23" s="195"/>
      <c r="K23" s="195"/>
      <c r="L23" s="195"/>
      <c r="M23" s="168"/>
      <c r="N23" s="169"/>
      <c r="O23" s="97"/>
      <c r="P23" s="187"/>
      <c r="Q23" s="188"/>
      <c r="R23" s="172"/>
      <c r="S23" s="173"/>
      <c r="T23" s="174"/>
      <c r="Y23" t="s">
        <v>70</v>
      </c>
      <c r="Z23" t="s">
        <v>71</v>
      </c>
      <c r="AL23" s="25" t="s">
        <v>72</v>
      </c>
    </row>
    <row r="24" spans="1:38" s="11" customFormat="1" ht="20.100000000000001" customHeight="1" thickBot="1" x14ac:dyDescent="0.25">
      <c r="A24" s="52">
        <v>5</v>
      </c>
      <c r="B24" s="168"/>
      <c r="C24" s="193"/>
      <c r="D24" s="194"/>
      <c r="E24" s="195"/>
      <c r="F24" s="195"/>
      <c r="G24" s="195"/>
      <c r="H24" s="195"/>
      <c r="I24" s="195"/>
      <c r="J24" s="195"/>
      <c r="K24" s="195"/>
      <c r="L24" s="195"/>
      <c r="M24" s="168"/>
      <c r="N24" s="169"/>
      <c r="O24" s="97"/>
      <c r="P24" s="187"/>
      <c r="Q24" s="188"/>
      <c r="R24" s="172"/>
      <c r="S24" s="173"/>
      <c r="T24" s="174"/>
      <c r="Y24" s="132" t="s">
        <v>59</v>
      </c>
      <c r="Z24" s="132"/>
      <c r="AB24" s="181">
        <v>265500</v>
      </c>
      <c r="AC24" s="182"/>
      <c r="AD24" s="183"/>
      <c r="AL24" s="26" t="s">
        <v>73</v>
      </c>
    </row>
    <row r="25" spans="1:38" s="11" customFormat="1" ht="20.100000000000001" customHeight="1" x14ac:dyDescent="0.15">
      <c r="A25" s="52">
        <v>6</v>
      </c>
      <c r="B25" s="168"/>
      <c r="C25" s="193"/>
      <c r="D25" s="184"/>
      <c r="E25" s="185"/>
      <c r="F25" s="185"/>
      <c r="G25" s="185"/>
      <c r="H25" s="185"/>
      <c r="I25" s="185"/>
      <c r="J25" s="185"/>
      <c r="K25" s="185"/>
      <c r="L25" s="185"/>
      <c r="M25" s="168"/>
      <c r="N25" s="169"/>
      <c r="O25" s="97"/>
      <c r="P25" s="187"/>
      <c r="Q25" s="188"/>
      <c r="R25" s="172"/>
      <c r="S25" s="173"/>
      <c r="T25" s="174"/>
      <c r="Y25" s="132" t="s">
        <v>74</v>
      </c>
      <c r="Z25" s="132"/>
      <c r="AC25" s="11">
        <v>1380400</v>
      </c>
      <c r="AL25" s="26"/>
    </row>
    <row r="26" spans="1:38" s="11" customFormat="1" ht="20.100000000000001" customHeight="1" x14ac:dyDescent="0.15">
      <c r="A26" s="52">
        <v>7</v>
      </c>
      <c r="B26" s="168"/>
      <c r="C26" s="193"/>
      <c r="D26" s="184"/>
      <c r="E26" s="185"/>
      <c r="F26" s="185"/>
      <c r="G26" s="185"/>
      <c r="H26" s="185"/>
      <c r="I26" s="185"/>
      <c r="J26" s="185"/>
      <c r="K26" s="185"/>
      <c r="L26" s="185"/>
      <c r="M26" s="168"/>
      <c r="N26" s="169"/>
      <c r="O26" s="97"/>
      <c r="P26" s="187"/>
      <c r="Q26" s="188"/>
      <c r="R26" s="172"/>
      <c r="S26" s="173"/>
      <c r="T26" s="174"/>
      <c r="AL26" s="8" t="s">
        <v>75</v>
      </c>
    </row>
    <row r="27" spans="1:38" s="11" customFormat="1" ht="20.100000000000001" customHeight="1" x14ac:dyDescent="0.15">
      <c r="A27" s="52">
        <v>8</v>
      </c>
      <c r="B27" s="168"/>
      <c r="C27" s="193"/>
      <c r="D27" s="184"/>
      <c r="E27" s="185"/>
      <c r="F27" s="185"/>
      <c r="G27" s="185"/>
      <c r="H27" s="185"/>
      <c r="I27" s="185"/>
      <c r="J27" s="185"/>
      <c r="K27" s="185"/>
      <c r="L27" s="185"/>
      <c r="M27" s="168"/>
      <c r="N27" s="169"/>
      <c r="O27" s="97"/>
      <c r="P27" s="187"/>
      <c r="Q27" s="188"/>
      <c r="R27" s="172"/>
      <c r="S27" s="173"/>
      <c r="T27" s="174"/>
      <c r="AL27" s="34"/>
    </row>
    <row r="28" spans="1:38" s="11" customFormat="1" ht="20.100000000000001" customHeight="1" x14ac:dyDescent="0.15">
      <c r="A28" s="52">
        <v>9</v>
      </c>
      <c r="B28" s="168"/>
      <c r="C28" s="193"/>
      <c r="D28" s="184"/>
      <c r="E28" s="185"/>
      <c r="F28" s="185"/>
      <c r="G28" s="185"/>
      <c r="H28" s="185"/>
      <c r="I28" s="185"/>
      <c r="J28" s="185"/>
      <c r="K28" s="185"/>
      <c r="L28" s="185"/>
      <c r="M28" s="168"/>
      <c r="N28" s="169"/>
      <c r="O28" s="97"/>
      <c r="P28" s="187"/>
      <c r="Q28" s="188"/>
      <c r="R28" s="172"/>
      <c r="S28" s="173"/>
      <c r="T28" s="174"/>
      <c r="AL28" s="26"/>
    </row>
    <row r="29" spans="1:38" s="11" customFormat="1" ht="20.100000000000001" customHeight="1" x14ac:dyDescent="0.25">
      <c r="A29" s="54">
        <f t="shared" ref="A29:A35" si="0">+A28+1</f>
        <v>10</v>
      </c>
      <c r="B29" s="163"/>
      <c r="C29" s="164"/>
      <c r="D29" s="184"/>
      <c r="E29" s="185"/>
      <c r="F29" s="185"/>
      <c r="G29" s="185"/>
      <c r="H29" s="185"/>
      <c r="I29" s="185"/>
      <c r="J29" s="185"/>
      <c r="K29" s="185"/>
      <c r="L29" s="185"/>
      <c r="M29" s="189"/>
      <c r="N29" s="190"/>
      <c r="O29" s="97"/>
      <c r="P29" s="191"/>
      <c r="Q29" s="192"/>
      <c r="R29" s="172"/>
      <c r="S29" s="173"/>
      <c r="T29" s="174"/>
      <c r="AL29" s="133" t="s">
        <v>76</v>
      </c>
    </row>
    <row r="30" spans="1:38" s="11" customFormat="1" ht="20.100000000000001" customHeight="1" x14ac:dyDescent="0.15">
      <c r="A30" s="54">
        <f t="shared" si="0"/>
        <v>11</v>
      </c>
      <c r="B30" s="163"/>
      <c r="C30" s="164"/>
      <c r="D30" s="184"/>
      <c r="E30" s="185"/>
      <c r="F30" s="185"/>
      <c r="G30" s="185"/>
      <c r="H30" s="185"/>
      <c r="I30" s="185"/>
      <c r="J30" s="185"/>
      <c r="K30" s="185"/>
      <c r="L30" s="185"/>
      <c r="M30" s="168"/>
      <c r="N30" s="169"/>
      <c r="O30" s="97"/>
      <c r="P30" s="187"/>
      <c r="Q30" s="188"/>
      <c r="R30" s="172"/>
      <c r="S30" s="173"/>
      <c r="T30" s="174"/>
      <c r="AL30" s="42" t="s">
        <v>77</v>
      </c>
    </row>
    <row r="31" spans="1:38" s="11" customFormat="1" ht="20.100000000000001" customHeight="1" x14ac:dyDescent="0.15">
      <c r="A31" s="54">
        <f t="shared" si="0"/>
        <v>12</v>
      </c>
      <c r="B31" s="163"/>
      <c r="C31" s="164"/>
      <c r="D31" s="184"/>
      <c r="E31" s="185"/>
      <c r="F31" s="185"/>
      <c r="G31" s="185"/>
      <c r="H31" s="185"/>
      <c r="I31" s="185"/>
      <c r="J31" s="185"/>
      <c r="K31" s="185"/>
      <c r="L31" s="185"/>
      <c r="M31" s="168"/>
      <c r="N31" s="169"/>
      <c r="O31" s="97"/>
      <c r="P31" s="187"/>
      <c r="Q31" s="188"/>
      <c r="R31" s="172"/>
      <c r="S31" s="173"/>
      <c r="T31" s="174"/>
      <c r="AL31" s="44" t="s">
        <v>78</v>
      </c>
    </row>
    <row r="32" spans="1:38" s="11" customFormat="1" ht="20.100000000000001" customHeight="1" x14ac:dyDescent="0.15">
      <c r="A32" s="54">
        <f t="shared" si="0"/>
        <v>13</v>
      </c>
      <c r="B32" s="163"/>
      <c r="C32" s="164"/>
      <c r="D32" s="184"/>
      <c r="E32" s="185"/>
      <c r="F32" s="185"/>
      <c r="G32" s="185"/>
      <c r="H32" s="185"/>
      <c r="I32" s="185"/>
      <c r="J32" s="185"/>
      <c r="K32" s="185"/>
      <c r="L32" s="185"/>
      <c r="M32" s="168"/>
      <c r="N32" s="169"/>
      <c r="O32" s="97"/>
      <c r="P32" s="187"/>
      <c r="Q32" s="188"/>
      <c r="R32" s="172"/>
      <c r="S32" s="173"/>
      <c r="T32" s="174"/>
      <c r="AL32" s="44" t="s">
        <v>79</v>
      </c>
    </row>
    <row r="33" spans="1:38" s="11" customFormat="1" ht="20.100000000000001" customHeight="1" x14ac:dyDescent="0.15">
      <c r="A33" s="54">
        <f t="shared" si="0"/>
        <v>14</v>
      </c>
      <c r="B33" s="163"/>
      <c r="C33" s="164"/>
      <c r="D33" s="184"/>
      <c r="E33" s="185"/>
      <c r="F33" s="185"/>
      <c r="G33" s="185"/>
      <c r="H33" s="185"/>
      <c r="I33" s="185"/>
      <c r="J33" s="185"/>
      <c r="K33" s="185"/>
      <c r="L33" s="186"/>
      <c r="M33" s="168"/>
      <c r="N33" s="169"/>
      <c r="O33" s="97"/>
      <c r="P33" s="187"/>
      <c r="Q33" s="188"/>
      <c r="R33" s="172"/>
      <c r="S33" s="173"/>
      <c r="T33" s="174"/>
    </row>
    <row r="34" spans="1:38" s="11" customFormat="1" ht="20.100000000000001" customHeight="1" x14ac:dyDescent="0.15">
      <c r="A34" s="54">
        <f t="shared" si="0"/>
        <v>15</v>
      </c>
      <c r="B34" s="163"/>
      <c r="C34" s="164"/>
      <c r="D34" s="184"/>
      <c r="E34" s="185"/>
      <c r="F34" s="185"/>
      <c r="G34" s="185"/>
      <c r="H34" s="185"/>
      <c r="I34" s="185"/>
      <c r="J34" s="185"/>
      <c r="K34" s="185"/>
      <c r="L34" s="186"/>
      <c r="M34" s="168"/>
      <c r="N34" s="169"/>
      <c r="O34" s="97"/>
      <c r="P34" s="187"/>
      <c r="Q34" s="188"/>
      <c r="R34" s="172"/>
      <c r="S34" s="173"/>
      <c r="T34" s="174"/>
      <c r="AL34" s="21" t="s">
        <v>80</v>
      </c>
    </row>
    <row r="35" spans="1:38" s="11" customFormat="1" ht="19.899999999999999" customHeight="1" x14ac:dyDescent="0.15">
      <c r="A35" s="54">
        <f t="shared" si="0"/>
        <v>16</v>
      </c>
      <c r="B35" s="163"/>
      <c r="C35" s="164"/>
      <c r="D35" s="184"/>
      <c r="E35" s="185"/>
      <c r="F35" s="185"/>
      <c r="G35" s="185"/>
      <c r="H35" s="185"/>
      <c r="I35" s="185"/>
      <c r="J35" s="185"/>
      <c r="K35" s="185"/>
      <c r="L35" s="186"/>
      <c r="M35" s="168"/>
      <c r="N35" s="169"/>
      <c r="O35" s="97"/>
      <c r="P35" s="187"/>
      <c r="Q35" s="188"/>
      <c r="R35" s="172"/>
      <c r="S35" s="173"/>
      <c r="T35" s="174"/>
      <c r="AL35" s="134" t="s">
        <v>81</v>
      </c>
    </row>
    <row r="36" spans="1:38" s="11" customFormat="1" ht="19.899999999999999" customHeight="1" x14ac:dyDescent="0.15">
      <c r="A36" s="54">
        <v>17</v>
      </c>
      <c r="B36" s="168"/>
      <c r="C36" s="169"/>
      <c r="D36" s="53"/>
      <c r="E36" s="55"/>
      <c r="F36" s="55"/>
      <c r="G36" s="55"/>
      <c r="H36" s="55"/>
      <c r="I36" s="55"/>
      <c r="J36" s="55"/>
      <c r="K36" s="55"/>
      <c r="L36" s="98"/>
      <c r="M36" s="168"/>
      <c r="N36" s="169"/>
      <c r="O36" s="97"/>
      <c r="P36" s="187"/>
      <c r="Q36" s="188"/>
      <c r="R36" s="172"/>
      <c r="S36" s="173"/>
      <c r="T36" s="174"/>
      <c r="AL36" s="135" t="s">
        <v>82</v>
      </c>
    </row>
    <row r="37" spans="1:38" s="11" customFormat="1" ht="19.899999999999999" customHeight="1" x14ac:dyDescent="0.15">
      <c r="A37" s="54">
        <v>18</v>
      </c>
      <c r="B37" s="168"/>
      <c r="C37" s="169"/>
      <c r="D37" s="53"/>
      <c r="E37" s="55"/>
      <c r="F37" s="55"/>
      <c r="G37" s="55"/>
      <c r="H37" s="55"/>
      <c r="I37" s="55"/>
      <c r="J37" s="55"/>
      <c r="K37" s="55"/>
      <c r="L37" s="98"/>
      <c r="M37" s="168"/>
      <c r="N37" s="169"/>
      <c r="O37" s="97"/>
      <c r="P37" s="187"/>
      <c r="Q37" s="188"/>
      <c r="R37" s="172"/>
      <c r="S37" s="173"/>
      <c r="T37" s="174"/>
      <c r="AL37" s="135"/>
    </row>
    <row r="38" spans="1:38" s="11" customFormat="1" ht="20.100000000000001" customHeight="1" x14ac:dyDescent="0.15">
      <c r="A38" s="54">
        <v>19</v>
      </c>
      <c r="B38" s="163"/>
      <c r="C38" s="164"/>
      <c r="D38" s="184"/>
      <c r="E38" s="185"/>
      <c r="F38" s="185"/>
      <c r="G38" s="185"/>
      <c r="H38" s="185"/>
      <c r="I38" s="185"/>
      <c r="J38" s="185"/>
      <c r="K38" s="185"/>
      <c r="L38" s="186"/>
      <c r="M38" s="168"/>
      <c r="N38" s="169"/>
      <c r="O38" s="97"/>
      <c r="P38" s="187"/>
      <c r="Q38" s="188"/>
      <c r="R38" s="172"/>
      <c r="S38" s="173"/>
      <c r="T38" s="174"/>
      <c r="AL38" s="136" t="s">
        <v>83</v>
      </c>
    </row>
    <row r="39" spans="1:38" s="11" customFormat="1" ht="20.100000000000001" customHeight="1" x14ac:dyDescent="0.15">
      <c r="A39" s="54">
        <v>20</v>
      </c>
      <c r="B39" s="163"/>
      <c r="C39" s="164"/>
      <c r="D39" s="184"/>
      <c r="E39" s="185"/>
      <c r="F39" s="185"/>
      <c r="G39" s="185"/>
      <c r="H39" s="185"/>
      <c r="I39" s="185"/>
      <c r="J39" s="185"/>
      <c r="K39" s="185"/>
      <c r="L39" s="186"/>
      <c r="M39" s="168"/>
      <c r="N39" s="169"/>
      <c r="O39" s="97"/>
      <c r="P39" s="187"/>
      <c r="Q39" s="188"/>
      <c r="R39" s="172"/>
      <c r="S39" s="173"/>
      <c r="T39" s="174"/>
      <c r="AL39" s="137"/>
    </row>
    <row r="40" spans="1:38" s="11" customFormat="1" ht="20.100000000000001" customHeight="1" x14ac:dyDescent="0.15">
      <c r="A40" s="54">
        <f>+A39+1</f>
        <v>21</v>
      </c>
      <c r="B40" s="163"/>
      <c r="C40" s="164"/>
      <c r="D40" s="184"/>
      <c r="E40" s="185"/>
      <c r="F40" s="185"/>
      <c r="G40" s="185"/>
      <c r="H40" s="185"/>
      <c r="I40" s="185"/>
      <c r="J40" s="185"/>
      <c r="K40" s="185"/>
      <c r="L40" s="186"/>
      <c r="M40" s="168"/>
      <c r="N40" s="169"/>
      <c r="O40" s="97"/>
      <c r="P40" s="187"/>
      <c r="Q40" s="188"/>
      <c r="R40" s="172"/>
      <c r="S40" s="173"/>
      <c r="T40" s="174"/>
      <c r="AL40" s="135"/>
    </row>
    <row r="41" spans="1:38" s="11" customFormat="1" ht="20.100000000000001" customHeight="1" thickBot="1" x14ac:dyDescent="0.25">
      <c r="A41" s="54">
        <f>+A40+1</f>
        <v>22</v>
      </c>
      <c r="B41" s="163"/>
      <c r="C41" s="164"/>
      <c r="D41" s="165"/>
      <c r="E41" s="166"/>
      <c r="F41" s="166"/>
      <c r="G41" s="166"/>
      <c r="H41" s="166"/>
      <c r="I41" s="166"/>
      <c r="J41" s="166"/>
      <c r="K41" s="166"/>
      <c r="L41" s="167"/>
      <c r="M41" s="168"/>
      <c r="N41" s="169"/>
      <c r="O41" s="97"/>
      <c r="P41" s="170"/>
      <c r="Q41" s="171"/>
      <c r="R41" s="172"/>
      <c r="S41" s="173"/>
      <c r="T41" s="174"/>
      <c r="AL41" s="138" t="s">
        <v>84</v>
      </c>
    </row>
    <row r="42" spans="1:38" s="11" customFormat="1" ht="20.100000000000001" customHeight="1" thickBot="1" x14ac:dyDescent="0.2">
      <c r="A42" s="56" t="s">
        <v>85</v>
      </c>
      <c r="D42" s="175" t="s">
        <v>86</v>
      </c>
      <c r="E42" s="176"/>
      <c r="F42" s="176"/>
      <c r="G42" s="176"/>
      <c r="H42" s="176"/>
      <c r="I42" s="176"/>
      <c r="J42" s="176"/>
      <c r="K42" s="176"/>
      <c r="L42" s="176"/>
      <c r="M42" s="177" t="s">
        <v>87</v>
      </c>
      <c r="N42" s="178"/>
      <c r="O42" s="179"/>
      <c r="P42" s="179"/>
      <c r="Q42" s="180"/>
      <c r="R42" s="181">
        <f>SUM(R20:T41)</f>
        <v>8000</v>
      </c>
      <c r="S42" s="182"/>
      <c r="T42" s="183"/>
      <c r="AL42" s="139" t="s">
        <v>88</v>
      </c>
    </row>
    <row r="43" spans="1:38" s="12" customFormat="1" ht="15" customHeight="1" thickBot="1" x14ac:dyDescent="0.2">
      <c r="H43" s="57"/>
      <c r="I43" s="63" t="s">
        <v>89</v>
      </c>
      <c r="J43" s="149" t="s">
        <v>2</v>
      </c>
      <c r="K43" s="149"/>
      <c r="AL43" s="140" t="s">
        <v>90</v>
      </c>
    </row>
    <row r="44" spans="1:38" s="13" customFormat="1" ht="15" customHeight="1" thickBot="1" x14ac:dyDescent="0.2">
      <c r="A44" s="56"/>
      <c r="B44" s="58"/>
      <c r="D44" s="59"/>
      <c r="E44" s="150" t="s">
        <v>91</v>
      </c>
      <c r="F44" s="151"/>
      <c r="G44" s="12"/>
      <c r="H44" s="57"/>
      <c r="I44" s="99"/>
      <c r="J44" s="14"/>
      <c r="K44" s="12"/>
      <c r="L44" s="12"/>
      <c r="M44" s="59"/>
      <c r="N44" s="59"/>
      <c r="AL44" s="140" t="s">
        <v>92</v>
      </c>
    </row>
    <row r="45" spans="1:38" s="14" customFormat="1" ht="18" customHeight="1" thickBot="1" x14ac:dyDescent="0.2">
      <c r="B45" s="60"/>
      <c r="E45" s="60"/>
      <c r="H45" s="61"/>
      <c r="I45" s="63" t="s">
        <v>93</v>
      </c>
      <c r="J45" s="100"/>
      <c r="K45" s="100"/>
      <c r="L45" s="12"/>
      <c r="M45" s="101" t="s">
        <v>94</v>
      </c>
      <c r="N45" s="102"/>
      <c r="O45" s="102"/>
      <c r="P45" s="102"/>
      <c r="Q45" s="102"/>
      <c r="R45" s="102"/>
      <c r="S45" s="102"/>
      <c r="T45" s="127"/>
    </row>
    <row r="46" spans="1:38" s="2" customFormat="1" ht="22.15" customHeight="1" thickBot="1" x14ac:dyDescent="0.2">
      <c r="D46" s="14"/>
      <c r="H46" s="62"/>
      <c r="I46" s="63" t="s">
        <v>95</v>
      </c>
      <c r="J46" s="100"/>
      <c r="K46" s="100"/>
      <c r="L46" s="12"/>
      <c r="M46" s="103"/>
      <c r="N46" s="104" t="s">
        <v>195</v>
      </c>
      <c r="O46" s="104"/>
      <c r="P46" s="104"/>
      <c r="Q46" s="104"/>
      <c r="R46" s="104"/>
      <c r="S46" s="104"/>
      <c r="T46" s="128"/>
    </row>
    <row r="47" spans="1:38" s="2" customFormat="1" ht="19.899999999999999" customHeight="1" thickBot="1" x14ac:dyDescent="0.2">
      <c r="A47" s="12"/>
      <c r="B47" s="12"/>
      <c r="C47" s="12"/>
      <c r="D47" s="14"/>
      <c r="E47" s="12"/>
      <c r="G47" s="63"/>
      <c r="H47" s="57"/>
      <c r="I47" s="63" t="s">
        <v>97</v>
      </c>
      <c r="J47" s="100"/>
      <c r="K47" s="100"/>
      <c r="M47" s="103"/>
      <c r="N47" s="152"/>
      <c r="O47" s="152"/>
      <c r="P47" s="152"/>
      <c r="Q47" s="152"/>
      <c r="R47" s="152"/>
      <c r="S47" s="152"/>
      <c r="T47" s="153"/>
    </row>
    <row r="48" spans="1:38" s="2" customFormat="1" ht="16.899999999999999" customHeight="1" x14ac:dyDescent="0.15">
      <c r="A48" s="13"/>
      <c r="B48" s="58"/>
      <c r="C48" s="13"/>
      <c r="D48" s="14"/>
      <c r="E48" s="58"/>
      <c r="F48" s="12"/>
      <c r="G48" s="12"/>
      <c r="H48" s="57"/>
      <c r="I48" s="63"/>
      <c r="J48" s="105"/>
      <c r="K48" s="105"/>
      <c r="M48" s="103"/>
      <c r="N48" s="154" t="s">
        <v>98</v>
      </c>
      <c r="O48" s="154"/>
      <c r="P48" s="154"/>
      <c r="Q48" s="154"/>
      <c r="R48" s="154"/>
      <c r="S48" s="154"/>
      <c r="T48" s="129"/>
    </row>
    <row r="49" spans="1:20" s="2" customFormat="1" ht="21" customHeight="1" thickBot="1" x14ac:dyDescent="0.2">
      <c r="A49" s="13"/>
      <c r="B49" s="58"/>
      <c r="C49" s="13"/>
      <c r="D49" s="59"/>
      <c r="E49" s="58"/>
      <c r="F49" s="12"/>
      <c r="G49" s="12"/>
      <c r="H49" s="57"/>
      <c r="I49" s="63" t="s">
        <v>99</v>
      </c>
      <c r="J49" s="100"/>
      <c r="K49" s="100"/>
      <c r="M49" s="103"/>
      <c r="N49" s="106" t="s">
        <v>100</v>
      </c>
      <c r="O49" s="106"/>
      <c r="P49" s="107"/>
      <c r="Q49" s="107"/>
      <c r="R49" s="107"/>
      <c r="S49" s="107"/>
      <c r="T49" s="129"/>
    </row>
    <row r="50" spans="1:20" s="2" customFormat="1" ht="24" customHeight="1" thickBot="1" x14ac:dyDescent="0.2">
      <c r="F50" s="14"/>
      <c r="H50" s="62"/>
      <c r="I50" s="63"/>
      <c r="J50" s="105"/>
      <c r="K50" s="105"/>
      <c r="M50" s="103"/>
      <c r="N50" s="106"/>
      <c r="O50" s="107"/>
      <c r="P50" s="107"/>
      <c r="Q50" s="107"/>
      <c r="R50" s="107"/>
      <c r="S50" s="107"/>
      <c r="T50" s="129"/>
    </row>
    <row r="51" spans="1:20" s="2" customFormat="1" ht="15" customHeight="1" thickBot="1" x14ac:dyDescent="0.2">
      <c r="B51" s="64"/>
      <c r="C51" s="65"/>
      <c r="D51" s="66"/>
      <c r="E51" s="155" t="s">
        <v>101</v>
      </c>
      <c r="F51" s="155"/>
      <c r="G51" s="156"/>
      <c r="H51" s="57"/>
      <c r="I51" s="108" t="s">
        <v>102</v>
      </c>
      <c r="J51" s="159"/>
      <c r="K51" s="160"/>
      <c r="M51" s="103"/>
      <c r="N51" s="161"/>
      <c r="O51" s="161"/>
      <c r="P51" s="161"/>
      <c r="Q51" s="161"/>
      <c r="R51" s="161"/>
      <c r="S51" s="161"/>
      <c r="T51" s="162"/>
    </row>
    <row r="52" spans="1:20" s="2" customFormat="1" ht="15" customHeight="1" thickBot="1" x14ac:dyDescent="0.2">
      <c r="A52" s="12"/>
      <c r="B52" s="12"/>
      <c r="C52" s="12"/>
      <c r="D52" s="12"/>
      <c r="E52" s="157"/>
      <c r="F52" s="157"/>
      <c r="G52" s="158"/>
      <c r="H52" s="12"/>
      <c r="M52" s="109"/>
      <c r="N52" s="110"/>
      <c r="O52" s="110"/>
      <c r="P52" s="110"/>
      <c r="Q52" s="110"/>
      <c r="R52" s="110"/>
      <c r="S52" s="110"/>
      <c r="T52" s="130"/>
    </row>
    <row r="53" spans="1:20" s="2" customFormat="1" ht="12" customHeight="1" x14ac:dyDescent="0.15">
      <c r="Q53" s="131"/>
    </row>
    <row r="54" spans="1:20" s="2" customFormat="1" ht="14.25" x14ac:dyDescent="0.15">
      <c r="A54" s="56"/>
      <c r="Q54" s="131" t="s">
        <v>103</v>
      </c>
    </row>
    <row r="55" spans="1:20" s="2" customFormat="1" x14ac:dyDescent="0.15">
      <c r="Q55" s="131"/>
    </row>
    <row r="56" spans="1:20" s="2" customFormat="1" x14ac:dyDescent="0.15">
      <c r="J56" s="111"/>
    </row>
    <row r="57" spans="1:20" s="2" customFormat="1" x14ac:dyDescent="0.15">
      <c r="N57" s="106" t="s">
        <v>104</v>
      </c>
    </row>
    <row r="58" spans="1:20" s="2" customFormat="1" x14ac:dyDescent="0.15"/>
    <row r="59" spans="1:20" s="2" customFormat="1" x14ac:dyDescent="0.15"/>
    <row r="60" spans="1:20" s="2" customFormat="1" x14ac:dyDescent="0.15"/>
    <row r="61" spans="1:20" s="2" customFormat="1" x14ac:dyDescent="0.15"/>
    <row r="62" spans="1:20" s="2" customFormat="1" x14ac:dyDescent="0.15"/>
    <row r="63" spans="1:20" s="2" customFormat="1" x14ac:dyDescent="0.15"/>
    <row r="64" spans="1:20" s="2" customFormat="1" x14ac:dyDescent="0.15"/>
    <row r="65" s="2" customFormat="1" x14ac:dyDescent="0.15"/>
    <row r="66" s="2" customFormat="1" x14ac:dyDescent="0.15"/>
    <row r="67" s="2" customFormat="1" x14ac:dyDescent="0.15"/>
    <row r="68" s="2" customFormat="1" x14ac:dyDescent="0.15"/>
    <row r="69" s="2" customFormat="1" x14ac:dyDescent="0.15"/>
    <row r="70" s="2" customFormat="1" x14ac:dyDescent="0.15"/>
    <row r="71" s="2" customFormat="1" x14ac:dyDescent="0.15"/>
    <row r="72" s="2" customFormat="1" x14ac:dyDescent="0.15"/>
    <row r="73" s="2" customFormat="1" x14ac:dyDescent="0.15"/>
    <row r="74" s="2" customFormat="1" x14ac:dyDescent="0.15"/>
    <row r="75" s="2" customFormat="1" x14ac:dyDescent="0.15"/>
    <row r="76" s="2" customFormat="1" x14ac:dyDescent="0.15"/>
    <row r="77" s="2" customFormat="1" x14ac:dyDescent="0.15"/>
    <row r="78" s="2" customFormat="1" x14ac:dyDescent="0.15"/>
    <row r="79" s="2" customFormat="1" x14ac:dyDescent="0.15"/>
    <row r="80" s="2" customFormat="1" x14ac:dyDescent="0.15"/>
    <row r="81" s="2" customFormat="1" x14ac:dyDescent="0.15"/>
    <row r="82" s="2" customFormat="1" x14ac:dyDescent="0.15"/>
    <row r="83" s="2" customFormat="1" x14ac:dyDescent="0.15"/>
    <row r="84" s="2" customFormat="1" x14ac:dyDescent="0.15"/>
    <row r="85" s="2" customFormat="1" x14ac:dyDescent="0.15"/>
    <row r="86" s="2" customFormat="1" x14ac:dyDescent="0.15"/>
    <row r="87" s="2" customFormat="1" x14ac:dyDescent="0.15"/>
    <row r="88" s="2" customFormat="1" x14ac:dyDescent="0.15"/>
    <row r="89" s="2" customFormat="1" x14ac:dyDescent="0.15"/>
    <row r="90" s="2" customFormat="1" x14ac:dyDescent="0.15"/>
    <row r="91" s="2" customFormat="1" x14ac:dyDescent="0.15"/>
    <row r="92" s="2" customFormat="1" x14ac:dyDescent="0.15"/>
    <row r="93" s="2" customFormat="1" x14ac:dyDescent="0.15"/>
    <row r="94" s="2" customFormat="1" x14ac:dyDescent="0.15"/>
    <row r="95" s="2" customFormat="1" x14ac:dyDescent="0.15"/>
    <row r="96" s="2" customFormat="1" x14ac:dyDescent="0.15"/>
    <row r="97" s="2" customFormat="1" x14ac:dyDescent="0.15"/>
    <row r="98" s="2" customFormat="1" x14ac:dyDescent="0.15"/>
    <row r="99" s="2" customFormat="1" x14ac:dyDescent="0.15"/>
    <row r="100" s="2" customFormat="1" x14ac:dyDescent="0.15"/>
    <row r="101" s="2" customFormat="1" x14ac:dyDescent="0.15"/>
    <row r="102" s="2" customFormat="1" x14ac:dyDescent="0.15"/>
    <row r="103" s="2" customFormat="1" x14ac:dyDescent="0.15"/>
    <row r="104" s="2" customFormat="1" x14ac:dyDescent="0.15"/>
    <row r="105" s="2" customFormat="1" x14ac:dyDescent="0.15"/>
    <row r="106" s="2" customFormat="1" x14ac:dyDescent="0.15"/>
    <row r="107" s="2" customFormat="1" x14ac:dyDescent="0.15"/>
    <row r="108" s="2" customFormat="1" x14ac:dyDescent="0.15"/>
    <row r="109" s="2" customFormat="1" x14ac:dyDescent="0.15"/>
    <row r="110" s="2" customFormat="1" x14ac:dyDescent="0.15"/>
    <row r="111" s="2" customFormat="1" x14ac:dyDescent="0.15"/>
    <row r="112" s="2" customFormat="1" x14ac:dyDescent="0.15"/>
    <row r="113" s="2" customFormat="1" x14ac:dyDescent="0.15"/>
    <row r="114" s="2" customFormat="1" x14ac:dyDescent="0.15"/>
    <row r="115" s="2" customFormat="1" x14ac:dyDescent="0.15"/>
    <row r="116" s="2" customFormat="1" x14ac:dyDescent="0.15"/>
    <row r="117" s="2" customFormat="1" x14ac:dyDescent="0.15"/>
    <row r="118" s="2" customFormat="1" x14ac:dyDescent="0.15"/>
    <row r="119" s="2" customFormat="1" x14ac:dyDescent="0.15"/>
    <row r="120" s="2" customFormat="1" x14ac:dyDescent="0.15"/>
    <row r="121" s="2" customFormat="1" x14ac:dyDescent="0.15"/>
    <row r="122" s="2" customFormat="1" x14ac:dyDescent="0.15"/>
    <row r="123" s="2" customFormat="1" x14ac:dyDescent="0.15"/>
    <row r="124" s="2" customFormat="1" x14ac:dyDescent="0.15"/>
    <row r="125" s="2" customFormat="1" x14ac:dyDescent="0.15"/>
    <row r="126" s="2" customFormat="1" x14ac:dyDescent="0.15"/>
    <row r="127" s="2" customFormat="1" x14ac:dyDescent="0.15"/>
    <row r="128" s="2" customFormat="1" x14ac:dyDescent="0.15"/>
    <row r="129" s="2" customFormat="1" x14ac:dyDescent="0.15"/>
    <row r="130" s="2" customFormat="1" x14ac:dyDescent="0.15"/>
    <row r="131" s="2" customFormat="1" x14ac:dyDescent="0.15"/>
    <row r="132" s="2" customFormat="1" x14ac:dyDescent="0.15"/>
    <row r="133" s="2" customFormat="1" x14ac:dyDescent="0.15"/>
    <row r="134" s="2" customFormat="1" x14ac:dyDescent="0.15"/>
    <row r="135" s="2" customFormat="1" x14ac:dyDescent="0.15"/>
    <row r="136" s="2" customFormat="1" x14ac:dyDescent="0.15"/>
    <row r="137" s="2" customFormat="1" x14ac:dyDescent="0.15"/>
    <row r="138" s="2" customFormat="1" x14ac:dyDescent="0.15"/>
    <row r="139" s="2" customFormat="1" x14ac:dyDescent="0.15"/>
    <row r="140" s="2" customFormat="1" x14ac:dyDescent="0.15"/>
    <row r="141" s="2" customFormat="1" x14ac:dyDescent="0.15"/>
    <row r="142" s="2" customFormat="1" x14ac:dyDescent="0.15"/>
    <row r="143" s="2" customFormat="1" x14ac:dyDescent="0.15"/>
    <row r="144" s="2" customFormat="1" x14ac:dyDescent="0.15"/>
    <row r="145" s="2" customFormat="1" x14ac:dyDescent="0.15"/>
    <row r="146" s="2" customFormat="1" x14ac:dyDescent="0.15"/>
    <row r="147" s="2" customFormat="1" x14ac:dyDescent="0.15"/>
    <row r="148" s="2" customFormat="1" x14ac:dyDescent="0.15"/>
    <row r="149" s="2" customFormat="1" x14ac:dyDescent="0.15"/>
    <row r="150" s="2" customFormat="1" x14ac:dyDescent="0.15"/>
    <row r="151" s="2" customFormat="1" x14ac:dyDescent="0.15"/>
    <row r="152" s="2" customFormat="1" x14ac:dyDescent="0.15"/>
    <row r="153" s="2" customFormat="1" x14ac:dyDescent="0.15"/>
    <row r="154" s="2" customFormat="1" x14ac:dyDescent="0.15"/>
    <row r="155" s="2" customFormat="1" x14ac:dyDescent="0.15"/>
    <row r="156" s="2" customFormat="1" x14ac:dyDescent="0.15"/>
    <row r="157" s="2" customFormat="1" x14ac:dyDescent="0.15"/>
    <row r="158" s="2" customFormat="1" x14ac:dyDescent="0.15"/>
    <row r="159" s="2" customFormat="1" x14ac:dyDescent="0.15"/>
    <row r="160" s="2" customFormat="1" x14ac:dyDescent="0.15"/>
    <row r="161" s="2" customFormat="1" x14ac:dyDescent="0.15"/>
    <row r="162" s="2" customFormat="1" x14ac:dyDescent="0.15"/>
    <row r="163" s="2" customFormat="1" x14ac:dyDescent="0.15"/>
    <row r="164" s="2" customFormat="1" x14ac:dyDescent="0.15"/>
    <row r="165" s="2" customFormat="1" x14ac:dyDescent="0.15"/>
    <row r="166" s="2" customFormat="1" x14ac:dyDescent="0.15"/>
    <row r="167" s="2" customFormat="1" x14ac:dyDescent="0.15"/>
    <row r="168" s="2" customFormat="1" x14ac:dyDescent="0.15"/>
    <row r="169" s="2" customFormat="1" x14ac:dyDescent="0.15"/>
    <row r="170" s="2" customFormat="1" x14ac:dyDescent="0.15"/>
    <row r="171" s="2" customFormat="1" x14ac:dyDescent="0.15"/>
    <row r="172" s="2" customFormat="1" x14ac:dyDescent="0.15"/>
    <row r="173" s="2" customFormat="1" x14ac:dyDescent="0.15"/>
    <row r="174" s="2" customFormat="1" x14ac:dyDescent="0.15"/>
    <row r="175" s="2" customFormat="1" x14ac:dyDescent="0.15"/>
    <row r="176" s="2" customFormat="1" x14ac:dyDescent="0.15"/>
    <row r="177" s="2" customFormat="1" x14ac:dyDescent="0.15"/>
    <row r="178" s="2" customFormat="1" x14ac:dyDescent="0.15"/>
    <row r="179" s="2" customFormat="1" x14ac:dyDescent="0.15"/>
    <row r="180" s="2" customFormat="1" x14ac:dyDescent="0.15"/>
    <row r="181" s="2" customFormat="1" x14ac:dyDescent="0.15"/>
    <row r="182" s="2" customFormat="1" x14ac:dyDescent="0.15"/>
    <row r="183" s="2" customFormat="1" x14ac:dyDescent="0.15"/>
    <row r="184" s="2" customFormat="1" x14ac:dyDescent="0.15"/>
    <row r="185" s="2" customFormat="1" x14ac:dyDescent="0.15"/>
    <row r="186" s="2" customFormat="1" x14ac:dyDescent="0.15"/>
    <row r="187" s="2" customFormat="1" x14ac:dyDescent="0.15"/>
    <row r="188" s="2" customFormat="1" x14ac:dyDescent="0.15"/>
    <row r="189" s="2" customFormat="1" x14ac:dyDescent="0.15"/>
    <row r="190" s="2" customFormat="1" x14ac:dyDescent="0.15"/>
    <row r="191" s="2" customFormat="1" x14ac:dyDescent="0.15"/>
    <row r="192" s="2" customFormat="1" x14ac:dyDescent="0.15"/>
    <row r="193" s="2" customFormat="1" x14ac:dyDescent="0.15"/>
    <row r="194" s="2" customFormat="1" x14ac:dyDescent="0.15"/>
    <row r="195" s="2" customFormat="1" x14ac:dyDescent="0.15"/>
    <row r="196" s="2" customFormat="1" x14ac:dyDescent="0.15"/>
    <row r="197" s="2" customFormat="1" x14ac:dyDescent="0.15"/>
    <row r="198" s="2" customFormat="1" x14ac:dyDescent="0.15"/>
    <row r="199" s="2" customFormat="1" x14ac:dyDescent="0.15"/>
    <row r="200" s="2" customFormat="1" x14ac:dyDescent="0.15"/>
    <row r="201" s="2" customFormat="1" x14ac:dyDescent="0.15"/>
    <row r="202" s="2" customFormat="1" x14ac:dyDescent="0.15"/>
    <row r="203" s="2" customFormat="1" x14ac:dyDescent="0.15"/>
    <row r="204" s="2" customFormat="1" x14ac:dyDescent="0.15"/>
    <row r="205" s="2" customFormat="1" x14ac:dyDescent="0.15"/>
    <row r="206" s="2" customFormat="1" x14ac:dyDescent="0.15"/>
    <row r="207" s="2" customFormat="1" x14ac:dyDescent="0.15"/>
    <row r="208" s="2" customFormat="1" x14ac:dyDescent="0.15"/>
    <row r="209" s="2" customFormat="1" x14ac:dyDescent="0.15"/>
    <row r="210" s="2" customFormat="1" x14ac:dyDescent="0.15"/>
    <row r="211" s="2" customFormat="1" x14ac:dyDescent="0.15"/>
    <row r="212" s="2" customFormat="1" x14ac:dyDescent="0.15"/>
    <row r="213" s="2" customFormat="1" x14ac:dyDescent="0.15"/>
    <row r="214" s="2" customFormat="1" x14ac:dyDescent="0.15"/>
    <row r="215" s="2" customFormat="1" x14ac:dyDescent="0.15"/>
    <row r="216" s="2" customFormat="1" x14ac:dyDescent="0.15"/>
    <row r="217" s="2" customFormat="1" x14ac:dyDescent="0.15"/>
    <row r="218" s="2" customFormat="1" x14ac:dyDescent="0.15"/>
    <row r="219" s="2" customFormat="1" x14ac:dyDescent="0.15"/>
    <row r="220" s="2" customFormat="1" x14ac:dyDescent="0.15"/>
    <row r="221" s="2" customFormat="1" x14ac:dyDescent="0.15"/>
    <row r="222" s="2" customFormat="1" x14ac:dyDescent="0.15"/>
    <row r="223" s="2" customFormat="1" x14ac:dyDescent="0.15"/>
    <row r="224" s="2" customFormat="1" x14ac:dyDescent="0.15"/>
    <row r="225" s="2" customFormat="1" x14ac:dyDescent="0.15"/>
    <row r="226" s="2" customFormat="1" x14ac:dyDescent="0.15"/>
    <row r="227" s="2" customFormat="1" x14ac:dyDescent="0.15"/>
    <row r="228" s="2" customFormat="1" x14ac:dyDescent="0.15"/>
    <row r="229" s="2" customFormat="1" x14ac:dyDescent="0.15"/>
    <row r="230" s="2" customFormat="1" x14ac:dyDescent="0.15"/>
    <row r="231" s="2" customFormat="1" x14ac:dyDescent="0.15"/>
    <row r="232" s="2" customFormat="1" x14ac:dyDescent="0.15"/>
    <row r="233" s="2" customFormat="1" x14ac:dyDescent="0.15"/>
    <row r="234" s="2" customFormat="1" x14ac:dyDescent="0.15"/>
    <row r="235" s="2" customFormat="1" x14ac:dyDescent="0.15"/>
    <row r="236" s="2" customFormat="1" x14ac:dyDescent="0.15"/>
    <row r="237" s="2" customFormat="1" x14ac:dyDescent="0.15"/>
    <row r="238" s="2" customFormat="1" x14ac:dyDescent="0.15"/>
    <row r="239" s="2" customFormat="1" x14ac:dyDescent="0.15"/>
  </sheetData>
  <mergeCells count="154">
    <mergeCell ref="S2:T2"/>
    <mergeCell ref="C3:D3"/>
    <mergeCell ref="S3:T3"/>
    <mergeCell ref="K4:L4"/>
    <mergeCell ref="N4:O4"/>
    <mergeCell ref="S4:T4"/>
    <mergeCell ref="J12:K12"/>
    <mergeCell ref="J13:K13"/>
    <mergeCell ref="M14:N14"/>
    <mergeCell ref="P14:Q14"/>
    <mergeCell ref="R14:T14"/>
    <mergeCell ref="M15:N15"/>
    <mergeCell ref="P15:Q15"/>
    <mergeCell ref="R15:T15"/>
    <mergeCell ref="P5:T5"/>
    <mergeCell ref="J6:K6"/>
    <mergeCell ref="R6:S6"/>
    <mergeCell ref="J7:K7"/>
    <mergeCell ref="N7:O7"/>
    <mergeCell ref="M11:N11"/>
    <mergeCell ref="P11:Q11"/>
    <mergeCell ref="A16:C16"/>
    <mergeCell ref="D16:T16"/>
    <mergeCell ref="A17:A18"/>
    <mergeCell ref="B17:C18"/>
    <mergeCell ref="D17:L18"/>
    <mergeCell ref="O17:Q17"/>
    <mergeCell ref="R17:T17"/>
    <mergeCell ref="M18:N18"/>
    <mergeCell ref="P18:Q18"/>
    <mergeCell ref="R18:T18"/>
    <mergeCell ref="R20:T20"/>
    <mergeCell ref="B21:C21"/>
    <mergeCell ref="D21:L21"/>
    <mergeCell ref="M21:N21"/>
    <mergeCell ref="P21:Q21"/>
    <mergeCell ref="R21:T21"/>
    <mergeCell ref="B19:C19"/>
    <mergeCell ref="D19:L19"/>
    <mergeCell ref="M19:N19"/>
    <mergeCell ref="P19:Q19"/>
    <mergeCell ref="B20:C20"/>
    <mergeCell ref="D20:L20"/>
    <mergeCell ref="M20:N20"/>
    <mergeCell ref="P20:Q20"/>
    <mergeCell ref="B24:C24"/>
    <mergeCell ref="D24:L24"/>
    <mergeCell ref="M24:N24"/>
    <mergeCell ref="P24:Q24"/>
    <mergeCell ref="R24:T24"/>
    <mergeCell ref="AB24:AD24"/>
    <mergeCell ref="B22:C22"/>
    <mergeCell ref="D22:L22"/>
    <mergeCell ref="M22:N22"/>
    <mergeCell ref="P22:Q22"/>
    <mergeCell ref="R22:T22"/>
    <mergeCell ref="B23:C23"/>
    <mergeCell ref="D23:L23"/>
    <mergeCell ref="M23:N23"/>
    <mergeCell ref="P23:Q23"/>
    <mergeCell ref="R23:T23"/>
    <mergeCell ref="B25:C25"/>
    <mergeCell ref="D25:L25"/>
    <mergeCell ref="M25:N25"/>
    <mergeCell ref="P25:Q25"/>
    <mergeCell ref="R25:T25"/>
    <mergeCell ref="B26:C26"/>
    <mergeCell ref="D26:L26"/>
    <mergeCell ref="M26:N26"/>
    <mergeCell ref="P26:Q26"/>
    <mergeCell ref="R26:T26"/>
    <mergeCell ref="B27:C27"/>
    <mergeCell ref="D27:L27"/>
    <mergeCell ref="M27:N27"/>
    <mergeCell ref="P27:Q27"/>
    <mergeCell ref="R27:T27"/>
    <mergeCell ref="B28:C28"/>
    <mergeCell ref="D28:L28"/>
    <mergeCell ref="M28:N28"/>
    <mergeCell ref="P28:Q28"/>
    <mergeCell ref="R28:T28"/>
    <mergeCell ref="B29:C29"/>
    <mergeCell ref="D29:L29"/>
    <mergeCell ref="M29:N29"/>
    <mergeCell ref="P29:Q29"/>
    <mergeCell ref="R29:T29"/>
    <mergeCell ref="B30:C30"/>
    <mergeCell ref="D30:L30"/>
    <mergeCell ref="M30:N30"/>
    <mergeCell ref="P30:Q30"/>
    <mergeCell ref="R30:T30"/>
    <mergeCell ref="B31:C31"/>
    <mergeCell ref="D31:L31"/>
    <mergeCell ref="M31:N31"/>
    <mergeCell ref="P31:Q31"/>
    <mergeCell ref="R31:T31"/>
    <mergeCell ref="B32:C32"/>
    <mergeCell ref="D32:L32"/>
    <mergeCell ref="M32:N32"/>
    <mergeCell ref="P32:Q32"/>
    <mergeCell ref="R32:T32"/>
    <mergeCell ref="B33:C33"/>
    <mergeCell ref="D33:L33"/>
    <mergeCell ref="M33:N33"/>
    <mergeCell ref="P33:Q33"/>
    <mergeCell ref="R33:T33"/>
    <mergeCell ref="B34:C34"/>
    <mergeCell ref="D34:L34"/>
    <mergeCell ref="M34:N34"/>
    <mergeCell ref="P34:Q34"/>
    <mergeCell ref="R34:T34"/>
    <mergeCell ref="B35:C35"/>
    <mergeCell ref="D35:L35"/>
    <mergeCell ref="M35:N35"/>
    <mergeCell ref="P35:Q35"/>
    <mergeCell ref="R35:T35"/>
    <mergeCell ref="B36:C36"/>
    <mergeCell ref="M36:N36"/>
    <mergeCell ref="P36:Q36"/>
    <mergeCell ref="R36:T36"/>
    <mergeCell ref="B37:C37"/>
    <mergeCell ref="M37:N37"/>
    <mergeCell ref="P37:Q37"/>
    <mergeCell ref="R37:T37"/>
    <mergeCell ref="B38:C38"/>
    <mergeCell ref="D38:L38"/>
    <mergeCell ref="M38:N38"/>
    <mergeCell ref="P38:Q38"/>
    <mergeCell ref="R38:T38"/>
    <mergeCell ref="B39:C39"/>
    <mergeCell ref="D39:L39"/>
    <mergeCell ref="M39:N39"/>
    <mergeCell ref="P39:Q39"/>
    <mergeCell ref="R39:T39"/>
    <mergeCell ref="B40:C40"/>
    <mergeCell ref="D40:L40"/>
    <mergeCell ref="M40:N40"/>
    <mergeCell ref="P40:Q40"/>
    <mergeCell ref="R40:T40"/>
    <mergeCell ref="J43:K43"/>
    <mergeCell ref="E44:F44"/>
    <mergeCell ref="N47:T47"/>
    <mergeCell ref="N48:S48"/>
    <mergeCell ref="E51:G52"/>
    <mergeCell ref="J51:K51"/>
    <mergeCell ref="N51:T51"/>
    <mergeCell ref="B41:C41"/>
    <mergeCell ref="D41:L41"/>
    <mergeCell ref="M41:N41"/>
    <mergeCell ref="P41:Q41"/>
    <mergeCell ref="R41:T41"/>
    <mergeCell ref="D42:L42"/>
    <mergeCell ref="M42:Q42"/>
    <mergeCell ref="R42:T42"/>
  </mergeCells>
  <dataValidations count="3">
    <dataValidation type="list" allowBlank="1" showInputMessage="1" showErrorMessage="1" sqref="J48:K48 J50:K50" xr:uid="{3AA09506-4D60-4505-A1AC-13BDF9B3F513}">
      <formula1>$Z$19:$Z$21</formula1>
    </dataValidation>
    <dataValidation type="list" allowBlank="1" showInputMessage="1" showErrorMessage="1" sqref="G47" xr:uid="{DE781252-169E-4987-BFAD-0E3A8A286447}">
      <formula1>sales</formula1>
    </dataValidation>
    <dataValidation type="list" allowBlank="1" showInputMessage="1" showErrorMessage="1" sqref="K3:Q3" xr:uid="{555BA75D-6D8D-455A-A67A-C0DC6E8C825A}">
      <formula1>$Y$19:$Y$25</formula1>
    </dataValidation>
  </dataValidations>
  <printOptions horizontalCentered="1" verticalCentered="1"/>
  <pageMargins left="0.27559055118110198" right="0.31496062992126" top="0.196850393700787" bottom="0.15748031496063" header="0.31496062992126" footer="0.23622047244094499"/>
  <pageSetup paperSize="9" scale="57" orientation="landscape" horizontalDpi="360" verticalDpi="360" r:id="rId1"/>
  <headerFooter alignWithMargins="0">
    <oddHeader>&amp;L&amp;"Arial,Italic"&amp;8Distribution:
Sales Dept. &amp; Sales Engineer&amp;"Arial,Regular"&amp;10</oddHeader>
    <oddFooter>&amp;C&amp;Z&amp;F</oddFooter>
  </headerFooter>
  <rowBreaks count="1" manualBreakCount="1">
    <brk id="54" max="19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Check Box 1">
              <controlPr defaultSize="0" autoPict="0">
                <anchor moveWithCells="1" sizeWithCells="1">
                  <from>
                    <xdr:col>9</xdr:col>
                    <xdr:colOff>0</xdr:colOff>
                    <xdr:row>3</xdr:row>
                    <xdr:rowOff>7620</xdr:rowOff>
                  </from>
                  <to>
                    <xdr:col>9</xdr:col>
                    <xdr:colOff>678180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5" name="Check Box 2">
              <controlPr defaultSize="0" autoPict="0">
                <anchor moveWithCells="1" sizeWithCells="1">
                  <from>
                    <xdr:col>9</xdr:col>
                    <xdr:colOff>1021080</xdr:colOff>
                    <xdr:row>3</xdr:row>
                    <xdr:rowOff>7620</xdr:rowOff>
                  </from>
                  <to>
                    <xdr:col>11</xdr:col>
                    <xdr:colOff>449580</xdr:colOff>
                    <xdr:row>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r:id="rId6" name="Check Box 3">
              <controlPr locked="0" defaultSize="0" autoPict="0">
                <anchor moveWithCells="1" sizeWithCells="1">
                  <from>
                    <xdr:col>12</xdr:col>
                    <xdr:colOff>114300</xdr:colOff>
                    <xdr:row>3</xdr:row>
                    <xdr:rowOff>15240</xdr:rowOff>
                  </from>
                  <to>
                    <xdr:col>14</xdr:col>
                    <xdr:colOff>236220</xdr:colOff>
                    <xdr:row>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2" r:id="rId7" name="Check Box 4">
              <controlPr defaultSize="0" autoPict="0">
                <anchor moveWithCells="1" sizeWithCells="1">
                  <from>
                    <xdr:col>14</xdr:col>
                    <xdr:colOff>944880</xdr:colOff>
                    <xdr:row>3</xdr:row>
                    <xdr:rowOff>7620</xdr:rowOff>
                  </from>
                  <to>
                    <xdr:col>16</xdr:col>
                    <xdr:colOff>502920</xdr:colOff>
                    <xdr:row>3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3" r:id="rId8" name="Check Box 5">
              <controlPr defaultSize="0" autoPict="0">
                <anchor moveWithCells="1" sizeWithCells="1">
                  <from>
                    <xdr:col>14</xdr:col>
                    <xdr:colOff>0</xdr:colOff>
                    <xdr:row>12</xdr:row>
                    <xdr:rowOff>0</xdr:rowOff>
                  </from>
                  <to>
                    <xdr:col>14</xdr:col>
                    <xdr:colOff>617220</xdr:colOff>
                    <xdr:row>12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9" name="Check Box 6">
              <controlPr defaultSize="0" autoPict="0">
                <anchor moveWithCells="1" sizeWithCells="1">
                  <from>
                    <xdr:col>16</xdr:col>
                    <xdr:colOff>388620</xdr:colOff>
                    <xdr:row>12</xdr:row>
                    <xdr:rowOff>7620</xdr:rowOff>
                  </from>
                  <to>
                    <xdr:col>17</xdr:col>
                    <xdr:colOff>487680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5" r:id="rId10" name="Check Box 7">
              <controlPr defaultSize="0" autoPict="0">
                <anchor moveWithCells="1" sizeWithCells="1">
                  <from>
                    <xdr:col>14</xdr:col>
                    <xdr:colOff>990600</xdr:colOff>
                    <xdr:row>12</xdr:row>
                    <xdr:rowOff>7620</xdr:rowOff>
                  </from>
                  <to>
                    <xdr:col>16</xdr:col>
                    <xdr:colOff>68580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6" r:id="rId11" name="Check Box 8">
              <controlPr defaultSize="0" autoPict="0">
                <anchor moveWithCells="1" sizeWithCells="1">
                  <from>
                    <xdr:col>11</xdr:col>
                    <xdr:colOff>381000</xdr:colOff>
                    <xdr:row>12</xdr:row>
                    <xdr:rowOff>7620</xdr:rowOff>
                  </from>
                  <to>
                    <xdr:col>13</xdr:col>
                    <xdr:colOff>335280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7" r:id="rId12" name="Check Box 9">
              <controlPr defaultSize="0" autoPict="0">
                <anchor moveWithCells="1" sizeWithCells="1">
                  <from>
                    <xdr:col>18</xdr:col>
                    <xdr:colOff>7620</xdr:colOff>
                    <xdr:row>12</xdr:row>
                    <xdr:rowOff>7620</xdr:rowOff>
                  </from>
                  <to>
                    <xdr:col>19</xdr:col>
                    <xdr:colOff>350520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8" r:id="rId13" name="Check Box 10">
              <controlPr locked="0" defaultSize="0" autoPict="0">
                <anchor>
                  <from>
                    <xdr:col>0</xdr:col>
                    <xdr:colOff>274320</xdr:colOff>
                    <xdr:row>44</xdr:row>
                    <xdr:rowOff>160020</xdr:rowOff>
                  </from>
                  <to>
                    <xdr:col>2</xdr:col>
                    <xdr:colOff>2788920</xdr:colOff>
                    <xdr:row>45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9" r:id="rId14" name="Check Box 11">
              <controlPr locked="0" defaultSize="0" autoPict="0">
                <anchor>
                  <from>
                    <xdr:col>0</xdr:col>
                    <xdr:colOff>281940</xdr:colOff>
                    <xdr:row>45</xdr:row>
                    <xdr:rowOff>144780</xdr:rowOff>
                  </from>
                  <to>
                    <xdr:col>2</xdr:col>
                    <xdr:colOff>2811780</xdr:colOff>
                    <xdr:row>46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0" r:id="rId15" name="Check Box 12">
              <controlPr locked="0" defaultSize="0" autoPict="0">
                <anchor>
                  <from>
                    <xdr:col>0</xdr:col>
                    <xdr:colOff>274320</xdr:colOff>
                    <xdr:row>43</xdr:row>
                    <xdr:rowOff>129540</xdr:rowOff>
                  </from>
                  <to>
                    <xdr:col>2</xdr:col>
                    <xdr:colOff>3611880</xdr:colOff>
                    <xdr:row>45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1" r:id="rId16" name="Check Box 13">
              <controlPr locked="0" defaultSize="0" autoPict="0">
                <anchor>
                  <from>
                    <xdr:col>0</xdr:col>
                    <xdr:colOff>274320</xdr:colOff>
                    <xdr:row>46</xdr:row>
                    <xdr:rowOff>45720</xdr:rowOff>
                  </from>
                  <to>
                    <xdr:col>2</xdr:col>
                    <xdr:colOff>3002280</xdr:colOff>
                    <xdr:row>46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2" r:id="rId17" name="Check Box 14">
              <controlPr locked="0" defaultSize="0" autoPict="0">
                <anchor>
                  <from>
                    <xdr:col>0</xdr:col>
                    <xdr:colOff>274320</xdr:colOff>
                    <xdr:row>46</xdr:row>
                    <xdr:rowOff>228600</xdr:rowOff>
                  </from>
                  <to>
                    <xdr:col>2</xdr:col>
                    <xdr:colOff>2979420</xdr:colOff>
                    <xdr:row>47</xdr:row>
                    <xdr:rowOff>129540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3" r:id="rId18" name="Check Box 15">
              <controlPr locked="0" defaultSize="0" autoPict="0">
                <anchor>
                  <from>
                    <xdr:col>0</xdr:col>
                    <xdr:colOff>274320</xdr:colOff>
                    <xdr:row>47</xdr:row>
                    <xdr:rowOff>129540</xdr:rowOff>
                  </from>
                  <to>
                    <xdr:col>2</xdr:col>
                    <xdr:colOff>3649980</xdr:colOff>
                    <xdr:row>48</xdr:row>
                    <xdr:rowOff>106680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84" r:id="rId19" name="Check Box 16">
              <controlPr locked="0" defaultSize="0" autoPict="0">
                <anchor>
                  <from>
                    <xdr:col>0</xdr:col>
                    <xdr:colOff>274320</xdr:colOff>
                    <xdr:row>43</xdr:row>
                    <xdr:rowOff>7620</xdr:rowOff>
                  </from>
                  <to>
                    <xdr:col>2</xdr:col>
                    <xdr:colOff>2689860</xdr:colOff>
                    <xdr:row>44</xdr:row>
                    <xdr:rowOff>7620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9F68671-7153-4C9C-9ACE-FE9071416A5F}">
          <x14:formula1>
            <xm:f>data!$B$2:$B$7</xm:f>
          </x14:formula1>
          <xm:sqref>J43:K43</xm:sqref>
        </x14:dataValidation>
        <x14:dataValidation type="list" allowBlank="1" showInputMessage="1" showErrorMessage="1" xr:uid="{593143B0-82F6-4969-A2CB-DEDBFCDBDB80}">
          <x14:formula1>
            <xm:f>data!$A$2:$A$26</xm:f>
          </x14:formula1>
          <xm:sqref>C15</xm:sqref>
        </x14:dataValidation>
        <x14:dataValidation type="list" allowBlank="1" showInputMessage="1" showErrorMessage="1" xr:uid="{296699CD-1836-4977-9757-54BE75185B68}">
          <x14:formula1>
            <xm:f>data!$B$2:$B$6</xm:f>
          </x14:formula1>
          <xm:sqref>J3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2:AL239"/>
  <sheetViews>
    <sheetView view="pageBreakPreview" zoomScale="67" zoomScaleNormal="78" workbookViewId="0">
      <selection activeCell="P49" sqref="P49"/>
    </sheetView>
  </sheetViews>
  <sheetFormatPr defaultColWidth="9.03515625" defaultRowHeight="12.75" x14ac:dyDescent="0.15"/>
  <cols>
    <col min="1" max="1" width="4.71875" customWidth="1"/>
    <col min="2" max="2" width="9.70703125" customWidth="1"/>
    <col min="3" max="3" width="58.79296875" customWidth="1"/>
    <col min="4" max="4" width="4.71875" customWidth="1"/>
    <col min="5" max="5" width="7.01171875" hidden="1" customWidth="1"/>
    <col min="6" max="6" width="0.26953125" hidden="1" customWidth="1"/>
    <col min="7" max="7" width="0.1328125" hidden="1" customWidth="1"/>
    <col min="8" max="8" width="1.6171875" hidden="1" customWidth="1"/>
    <col min="9" max="9" width="26.29296875" customWidth="1"/>
    <col min="10" max="10" width="19.01171875" customWidth="1"/>
    <col min="11" max="11" width="10.65234375" customWidth="1"/>
    <col min="12" max="12" width="8.62890625" customWidth="1"/>
    <col min="13" max="13" width="4.71875" customWidth="1"/>
    <col min="14" max="14" width="10.65234375" customWidth="1"/>
    <col min="15" max="15" width="17.6640625" customWidth="1"/>
    <col min="16" max="16" width="9.70703125" customWidth="1"/>
    <col min="17" max="17" width="8.62890625" customWidth="1"/>
    <col min="18" max="18" width="11.8671875" customWidth="1"/>
    <col min="19" max="19" width="6.875" customWidth="1"/>
    <col min="20" max="20" width="15.37109375" customWidth="1"/>
    <col min="22" max="23" width="9.03515625" hidden="1" customWidth="1"/>
    <col min="24" max="24" width="9.16796875" hidden="1" customWidth="1"/>
    <col min="25" max="25" width="19.8203125" hidden="1" customWidth="1"/>
    <col min="26" max="26" width="40.05078125" hidden="1" customWidth="1"/>
    <col min="27" max="27" width="9.16796875" hidden="1" customWidth="1"/>
    <col min="29" max="29" width="9.4375" customWidth="1"/>
  </cols>
  <sheetData>
    <row r="2" spans="1:38" ht="24" customHeight="1" x14ac:dyDescent="0.15">
      <c r="C2" s="8"/>
      <c r="I2" s="67" t="s">
        <v>0</v>
      </c>
      <c r="J2" s="67"/>
      <c r="K2" s="68"/>
      <c r="L2" s="67"/>
      <c r="N2" s="69"/>
      <c r="P2" s="67"/>
      <c r="S2" s="243"/>
      <c r="T2" s="243"/>
    </row>
    <row r="3" spans="1:38" s="2" customFormat="1" ht="20.100000000000001" customHeight="1" x14ac:dyDescent="0.15">
      <c r="A3" s="15"/>
      <c r="B3" s="16"/>
      <c r="C3" s="244"/>
      <c r="D3" s="244"/>
      <c r="E3" s="17"/>
      <c r="F3" s="17"/>
      <c r="G3" s="17"/>
      <c r="H3" s="18"/>
      <c r="I3" s="59" t="s">
        <v>1</v>
      </c>
      <c r="J3" s="70" t="s">
        <v>2</v>
      </c>
      <c r="K3" s="70"/>
      <c r="L3" s="70"/>
      <c r="M3" s="70"/>
      <c r="N3" s="70"/>
      <c r="O3" s="70"/>
      <c r="P3" s="70"/>
      <c r="Q3" s="70"/>
      <c r="R3" s="108" t="s">
        <v>3</v>
      </c>
      <c r="S3" s="254" t="s">
        <v>178</v>
      </c>
      <c r="T3" s="240"/>
    </row>
    <row r="4" spans="1:38" s="2" customFormat="1" ht="20.100000000000001" customHeight="1" x14ac:dyDescent="0.15">
      <c r="A4" s="19" t="s">
        <v>4</v>
      </c>
      <c r="B4" s="20"/>
      <c r="C4" s="141" t="s">
        <v>175</v>
      </c>
      <c r="D4" s="22"/>
      <c r="E4" s="23"/>
      <c r="F4" s="23"/>
      <c r="G4" s="23"/>
      <c r="H4" s="24"/>
      <c r="I4" s="71" t="s">
        <v>5</v>
      </c>
      <c r="J4" s="72" t="s">
        <v>6</v>
      </c>
      <c r="K4" s="245" t="s">
        <v>7</v>
      </c>
      <c r="L4" s="245"/>
      <c r="M4" s="73"/>
      <c r="N4" s="246" t="s">
        <v>8</v>
      </c>
      <c r="O4" s="246"/>
      <c r="P4" s="73" t="s">
        <v>9</v>
      </c>
      <c r="Q4" s="112"/>
      <c r="R4" s="112"/>
      <c r="S4" s="247"/>
      <c r="T4" s="248"/>
    </row>
    <row r="5" spans="1:38" s="2" customFormat="1" ht="20.100000000000001" customHeight="1" x14ac:dyDescent="0.15">
      <c r="A5" s="19" t="s">
        <v>10</v>
      </c>
      <c r="B5" s="20"/>
      <c r="C5" s="25"/>
      <c r="D5" s="26"/>
      <c r="E5" s="26"/>
      <c r="F5" s="26"/>
      <c r="G5" s="26"/>
      <c r="H5" s="27"/>
      <c r="I5" s="74" t="s">
        <v>11</v>
      </c>
      <c r="J5" s="146" t="s">
        <v>179</v>
      </c>
      <c r="K5" s="75"/>
      <c r="L5" s="75"/>
      <c r="M5" s="75"/>
      <c r="N5" s="75"/>
      <c r="O5" s="75"/>
      <c r="P5" s="234"/>
      <c r="Q5" s="234"/>
      <c r="R5" s="234"/>
      <c r="S5" s="234"/>
      <c r="T5" s="235"/>
    </row>
    <row r="6" spans="1:38" s="2" customFormat="1" ht="15" x14ac:dyDescent="0.15">
      <c r="A6" s="19" t="s">
        <v>13</v>
      </c>
      <c r="B6" s="28"/>
      <c r="C6" s="26"/>
      <c r="D6" s="26"/>
      <c r="E6" s="26"/>
      <c r="F6" s="26"/>
      <c r="G6" s="26"/>
      <c r="H6" s="24"/>
      <c r="I6" s="74" t="s">
        <v>14</v>
      </c>
      <c r="J6" s="236">
        <v>57000</v>
      </c>
      <c r="K6" s="236"/>
      <c r="L6" s="76"/>
      <c r="M6" s="77"/>
      <c r="N6" s="78"/>
      <c r="O6" s="79"/>
      <c r="P6" s="14"/>
      <c r="Q6" s="14"/>
      <c r="R6" s="237"/>
      <c r="S6" s="237"/>
      <c r="T6" s="113"/>
    </row>
    <row r="7" spans="1:38" s="2" customFormat="1" ht="20.100000000000001" customHeight="1" x14ac:dyDescent="0.15">
      <c r="A7" s="29"/>
      <c r="B7" s="20"/>
      <c r="C7" s="26"/>
      <c r="D7" s="30"/>
      <c r="E7" s="30"/>
      <c r="F7" s="30"/>
      <c r="G7" s="30"/>
      <c r="H7" s="24"/>
      <c r="I7" s="74" t="s">
        <v>15</v>
      </c>
      <c r="J7" s="253" t="s">
        <v>180</v>
      </c>
      <c r="K7" s="239"/>
      <c r="L7" s="39"/>
      <c r="M7" s="39" t="s">
        <v>16</v>
      </c>
      <c r="N7" s="254" t="s">
        <v>181</v>
      </c>
      <c r="O7" s="240"/>
      <c r="P7" s="14" t="s">
        <v>17</v>
      </c>
      <c r="Q7" s="14"/>
      <c r="R7" s="114">
        <v>26768</v>
      </c>
      <c r="S7" s="115"/>
      <c r="T7" s="116"/>
    </row>
    <row r="8" spans="1:38" s="2" customFormat="1" ht="20.100000000000001" customHeight="1" x14ac:dyDescent="0.15">
      <c r="A8" s="19" t="s">
        <v>18</v>
      </c>
      <c r="B8" s="20"/>
      <c r="C8" s="142" t="s">
        <v>176</v>
      </c>
      <c r="D8" s="31"/>
      <c r="E8" s="31"/>
      <c r="F8" s="31"/>
      <c r="G8" s="31"/>
      <c r="H8" s="32"/>
      <c r="I8" s="74" t="s">
        <v>19</v>
      </c>
      <c r="J8" s="80"/>
      <c r="K8" s="81"/>
      <c r="L8" s="82"/>
      <c r="M8" s="14"/>
      <c r="N8" s="14"/>
      <c r="O8" s="78"/>
      <c r="P8" s="78"/>
      <c r="Q8" s="78"/>
      <c r="R8" s="39"/>
      <c r="S8" s="78"/>
      <c r="T8" s="117"/>
    </row>
    <row r="9" spans="1:38" s="2" customFormat="1" ht="20.100000000000001" customHeight="1" x14ac:dyDescent="0.15">
      <c r="A9" s="19" t="s">
        <v>20</v>
      </c>
      <c r="B9" s="33"/>
      <c r="C9" s="34"/>
      <c r="D9" s="26"/>
      <c r="E9" s="26"/>
      <c r="F9" s="35"/>
      <c r="G9" s="35"/>
      <c r="H9" s="27"/>
      <c r="I9" s="74" t="s">
        <v>21</v>
      </c>
      <c r="J9" s="83" t="s">
        <v>22</v>
      </c>
      <c r="K9" s="14" t="s">
        <v>23</v>
      </c>
      <c r="L9" s="39" t="s">
        <v>24</v>
      </c>
      <c r="M9" s="84"/>
      <c r="N9" s="84"/>
      <c r="O9" s="84"/>
      <c r="P9" s="84"/>
      <c r="Q9" s="118"/>
      <c r="R9" s="39"/>
      <c r="S9" s="87"/>
      <c r="T9" s="119"/>
      <c r="AD9" s="2" t="s">
        <v>25</v>
      </c>
    </row>
    <row r="10" spans="1:38" s="2" customFormat="1" ht="20.100000000000001" customHeight="1" x14ac:dyDescent="0.15">
      <c r="A10" s="19"/>
      <c r="B10" s="28"/>
      <c r="C10" s="26"/>
      <c r="D10" s="26"/>
      <c r="E10" s="26"/>
      <c r="F10" s="35"/>
      <c r="G10" s="35"/>
      <c r="H10" s="24"/>
      <c r="I10" s="19" t="s">
        <v>26</v>
      </c>
      <c r="J10" s="85" t="s">
        <v>22</v>
      </c>
      <c r="K10" s="14" t="s">
        <v>23</v>
      </c>
      <c r="L10" s="39" t="s">
        <v>27</v>
      </c>
      <c r="M10" s="35"/>
      <c r="N10" s="35"/>
      <c r="O10" s="35"/>
      <c r="P10" s="35"/>
      <c r="Q10" s="118"/>
      <c r="R10" s="39"/>
      <c r="S10" s="87"/>
      <c r="T10" s="119"/>
    </row>
    <row r="11" spans="1:38" s="2" customFormat="1" ht="17.25" x14ac:dyDescent="0.25">
      <c r="A11" s="19" t="s">
        <v>28</v>
      </c>
      <c r="B11" s="36"/>
      <c r="C11" s="144" t="s">
        <v>175</v>
      </c>
      <c r="D11" s="38"/>
      <c r="E11" s="38"/>
      <c r="F11" s="39"/>
      <c r="G11" s="40"/>
      <c r="H11" s="24"/>
      <c r="I11" s="19"/>
      <c r="J11" s="86"/>
      <c r="L11" s="39"/>
      <c r="M11" s="241"/>
      <c r="N11" s="241"/>
      <c r="O11" s="60"/>
      <c r="P11" s="242"/>
      <c r="Q11" s="242"/>
      <c r="R11" s="39"/>
      <c r="S11" s="120"/>
      <c r="T11" s="121"/>
      <c r="AD11" s="21" t="s">
        <v>29</v>
      </c>
      <c r="AL11" s="21" t="s">
        <v>30</v>
      </c>
    </row>
    <row r="12" spans="1:38" s="2" customFormat="1" ht="20.100000000000001" customHeight="1" x14ac:dyDescent="0.15">
      <c r="A12" s="19" t="s">
        <v>31</v>
      </c>
      <c r="B12" s="41"/>
      <c r="C12" s="145" t="s">
        <v>177</v>
      </c>
      <c r="D12" s="43"/>
      <c r="E12" s="43"/>
      <c r="F12" s="39"/>
      <c r="G12" s="26"/>
      <c r="H12" s="24"/>
      <c r="I12" s="74"/>
      <c r="J12" s="229"/>
      <c r="K12" s="229"/>
      <c r="L12" s="88"/>
      <c r="M12" s="89"/>
      <c r="N12" s="39"/>
      <c r="O12" s="89"/>
      <c r="P12" s="89"/>
      <c r="Q12" s="14"/>
      <c r="R12" s="60"/>
      <c r="S12" s="88"/>
      <c r="T12" s="122"/>
      <c r="AD12" s="25" t="s">
        <v>32</v>
      </c>
      <c r="AL12" s="25" t="s">
        <v>33</v>
      </c>
    </row>
    <row r="13" spans="1:38" s="2" customFormat="1" ht="20.100000000000001" customHeight="1" x14ac:dyDescent="0.15">
      <c r="A13" s="19" t="s">
        <v>34</v>
      </c>
      <c r="B13" s="20"/>
      <c r="C13" s="44"/>
      <c r="D13" s="26"/>
      <c r="E13" s="26"/>
      <c r="F13" s="45"/>
      <c r="G13" s="45"/>
      <c r="H13" s="24"/>
      <c r="I13" s="74" t="s">
        <v>35</v>
      </c>
      <c r="J13" s="229"/>
      <c r="K13" s="229"/>
      <c r="L13" s="88"/>
      <c r="M13" s="89" t="s">
        <v>36</v>
      </c>
      <c r="N13" s="39"/>
      <c r="O13" s="89" t="s">
        <v>37</v>
      </c>
      <c r="P13" s="14" t="s">
        <v>38</v>
      </c>
      <c r="Q13" s="88"/>
      <c r="R13" s="14" t="s">
        <v>39</v>
      </c>
      <c r="S13" s="14" t="s">
        <v>40</v>
      </c>
      <c r="T13" s="123"/>
      <c r="AD13" s="26"/>
      <c r="AL13" s="26" t="s">
        <v>41</v>
      </c>
    </row>
    <row r="14" spans="1:38" s="2" customFormat="1" ht="20.100000000000001" customHeight="1" x14ac:dyDescent="0.15">
      <c r="A14" s="46"/>
      <c r="C14" s="47"/>
      <c r="D14" s="26"/>
      <c r="E14" s="26"/>
      <c r="F14" s="30"/>
      <c r="G14" s="30"/>
      <c r="H14" s="24"/>
      <c r="I14" s="90"/>
      <c r="J14" s="91"/>
      <c r="L14" s="92"/>
      <c r="M14" s="230"/>
      <c r="N14" s="230"/>
      <c r="O14" s="89"/>
      <c r="P14" s="229"/>
      <c r="Q14" s="229"/>
      <c r="R14" s="229"/>
      <c r="S14" s="229"/>
      <c r="T14" s="231"/>
      <c r="AD14" s="26"/>
      <c r="AL14" s="26"/>
    </row>
    <row r="15" spans="1:38" s="2" customFormat="1" ht="20.100000000000001" customHeight="1" x14ac:dyDescent="0.15">
      <c r="A15" s="19" t="s">
        <v>42</v>
      </c>
      <c r="B15" s="28"/>
      <c r="C15" s="48"/>
      <c r="D15" s="49"/>
      <c r="E15" s="49"/>
      <c r="F15" s="49"/>
      <c r="G15" s="49"/>
      <c r="H15" s="50"/>
      <c r="I15" s="74"/>
      <c r="J15" s="87"/>
      <c r="K15" s="13"/>
      <c r="L15" s="92"/>
      <c r="M15" s="232"/>
      <c r="N15" s="233"/>
      <c r="O15" s="93"/>
      <c r="P15" s="229"/>
      <c r="Q15" s="229"/>
      <c r="R15" s="229"/>
      <c r="S15" s="229"/>
      <c r="T15" s="231"/>
      <c r="AD15" s="8" t="s">
        <v>43</v>
      </c>
      <c r="AL15" s="8" t="s">
        <v>44</v>
      </c>
    </row>
    <row r="16" spans="1:38" s="9" customFormat="1" ht="20.100000000000001" customHeight="1" x14ac:dyDescent="0.15">
      <c r="A16" s="207" t="s">
        <v>45</v>
      </c>
      <c r="B16" s="208"/>
      <c r="C16" s="208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10"/>
      <c r="AD16" s="34" t="s">
        <v>46</v>
      </c>
      <c r="AL16" s="34" t="s">
        <v>47</v>
      </c>
    </row>
    <row r="17" spans="1:38" s="2" customFormat="1" ht="17.100000000000001" customHeight="1" x14ac:dyDescent="0.15">
      <c r="A17" s="211" t="s">
        <v>48</v>
      </c>
      <c r="B17" s="213" t="s">
        <v>49</v>
      </c>
      <c r="C17" s="214"/>
      <c r="D17" s="217" t="s">
        <v>50</v>
      </c>
      <c r="E17" s="217"/>
      <c r="F17" s="217"/>
      <c r="G17" s="217"/>
      <c r="H17" s="217"/>
      <c r="I17" s="217"/>
      <c r="J17" s="217"/>
      <c r="K17" s="217"/>
      <c r="L17" s="217"/>
      <c r="M17" s="46"/>
      <c r="N17" s="94"/>
      <c r="O17" s="219"/>
      <c r="P17" s="219"/>
      <c r="Q17" s="220"/>
      <c r="R17" s="221"/>
      <c r="S17" s="219"/>
      <c r="T17" s="220"/>
      <c r="AD17" s="26"/>
      <c r="AL17" s="26"/>
    </row>
    <row r="18" spans="1:38" s="10" customFormat="1" ht="15" customHeight="1" x14ac:dyDescent="0.25">
      <c r="A18" s="212"/>
      <c r="B18" s="215"/>
      <c r="C18" s="216"/>
      <c r="D18" s="218"/>
      <c r="E18" s="218"/>
      <c r="F18" s="218"/>
      <c r="G18" s="218"/>
      <c r="H18" s="218"/>
      <c r="I18" s="218"/>
      <c r="J18" s="218"/>
      <c r="K18" s="218"/>
      <c r="L18" s="218"/>
      <c r="M18" s="222" t="s">
        <v>51</v>
      </c>
      <c r="N18" s="223"/>
      <c r="O18" s="95" t="s">
        <v>52</v>
      </c>
      <c r="P18" s="224" t="s">
        <v>53</v>
      </c>
      <c r="Q18" s="225"/>
      <c r="R18" s="226" t="s">
        <v>54</v>
      </c>
      <c r="S18" s="227"/>
      <c r="T18" s="228"/>
      <c r="Y18" s="8" t="s">
        <v>55</v>
      </c>
      <c r="AD18" s="37" t="s">
        <v>56</v>
      </c>
      <c r="AL18" s="133" t="s">
        <v>57</v>
      </c>
    </row>
    <row r="19" spans="1:38" s="11" customFormat="1" ht="8.25" customHeight="1" x14ac:dyDescent="0.15">
      <c r="A19" s="51"/>
      <c r="B19" s="198"/>
      <c r="C19" s="199"/>
      <c r="D19" s="200"/>
      <c r="E19" s="201"/>
      <c r="F19" s="201"/>
      <c r="G19" s="201"/>
      <c r="H19" s="201"/>
      <c r="I19" s="201"/>
      <c r="J19" s="201"/>
      <c r="K19" s="201"/>
      <c r="L19" s="202"/>
      <c r="M19" s="203"/>
      <c r="N19" s="204"/>
      <c r="O19" s="96"/>
      <c r="P19" s="205"/>
      <c r="Q19" s="206"/>
      <c r="R19" s="124"/>
      <c r="S19" s="125"/>
      <c r="T19" s="126"/>
      <c r="Y19" t="s">
        <v>58</v>
      </c>
      <c r="Z19" s="132" t="s">
        <v>59</v>
      </c>
      <c r="AD19" s="42" t="s">
        <v>60</v>
      </c>
      <c r="AL19" s="42" t="s">
        <v>61</v>
      </c>
    </row>
    <row r="20" spans="1:38" s="11" customFormat="1" ht="20.100000000000001" customHeight="1" x14ac:dyDescent="0.2">
      <c r="A20" s="52">
        <v>1</v>
      </c>
      <c r="B20" s="168"/>
      <c r="C20" s="193"/>
      <c r="D20" s="252" t="s">
        <v>182</v>
      </c>
      <c r="E20" s="195"/>
      <c r="F20" s="195"/>
      <c r="G20" s="195"/>
      <c r="H20" s="195"/>
      <c r="I20" s="195"/>
      <c r="J20" s="195"/>
      <c r="K20" s="195"/>
      <c r="L20" s="195"/>
      <c r="M20" s="168">
        <v>1</v>
      </c>
      <c r="N20" s="169"/>
      <c r="O20" s="147" t="s">
        <v>184</v>
      </c>
      <c r="P20" s="187">
        <v>13000</v>
      </c>
      <c r="Q20" s="188"/>
      <c r="R20" s="172">
        <f>P20*M20</f>
        <v>13000</v>
      </c>
      <c r="S20" s="173"/>
      <c r="T20" s="174"/>
      <c r="Y20" t="s">
        <v>62</v>
      </c>
      <c r="Z20" t="s">
        <v>63</v>
      </c>
      <c r="AD20" s="44" t="s">
        <v>64</v>
      </c>
      <c r="AL20" s="44" t="s">
        <v>47</v>
      </c>
    </row>
    <row r="21" spans="1:38" s="11" customFormat="1" ht="20.100000000000001" customHeight="1" x14ac:dyDescent="0.2">
      <c r="A21" s="52">
        <v>2</v>
      </c>
      <c r="B21" s="168"/>
      <c r="C21" s="193"/>
      <c r="D21" s="194"/>
      <c r="E21" s="195"/>
      <c r="F21" s="195"/>
      <c r="G21" s="195"/>
      <c r="H21" s="195"/>
      <c r="I21" s="195"/>
      <c r="J21" s="195"/>
      <c r="K21" s="195"/>
      <c r="L21" s="195"/>
      <c r="M21" s="168"/>
      <c r="N21" s="169"/>
      <c r="O21" s="97"/>
      <c r="P21" s="187"/>
      <c r="Q21" s="188"/>
      <c r="R21" s="172"/>
      <c r="S21" s="173"/>
      <c r="T21" s="174"/>
      <c r="Y21" t="s">
        <v>65</v>
      </c>
      <c r="Z21" t="s">
        <v>66</v>
      </c>
      <c r="AD21" s="47" t="s">
        <v>67</v>
      </c>
    </row>
    <row r="22" spans="1:38" s="11" customFormat="1" ht="20.100000000000001" customHeight="1" x14ac:dyDescent="0.2">
      <c r="A22" s="52">
        <v>3</v>
      </c>
      <c r="B22" s="196"/>
      <c r="C22" s="197"/>
      <c r="D22" s="194"/>
      <c r="E22" s="195"/>
      <c r="F22" s="195"/>
      <c r="G22" s="195"/>
      <c r="H22" s="195"/>
      <c r="I22" s="195"/>
      <c r="J22" s="195"/>
      <c r="K22" s="195"/>
      <c r="L22" s="195"/>
      <c r="M22" s="168"/>
      <c r="N22" s="169"/>
      <c r="O22" s="97"/>
      <c r="P22" s="187"/>
      <c r="Q22" s="188"/>
      <c r="R22" s="172"/>
      <c r="S22" s="173"/>
      <c r="T22" s="174"/>
      <c r="Y22" t="s">
        <v>68</v>
      </c>
      <c r="Z22"/>
      <c r="AL22" s="21" t="s">
        <v>69</v>
      </c>
    </row>
    <row r="23" spans="1:38" s="11" customFormat="1" ht="20.100000000000001" customHeight="1" x14ac:dyDescent="0.2">
      <c r="A23" s="52">
        <v>4</v>
      </c>
      <c r="B23" s="168"/>
      <c r="C23" s="193"/>
      <c r="D23" s="252" t="s">
        <v>183</v>
      </c>
      <c r="E23" s="195"/>
      <c r="F23" s="195"/>
      <c r="G23" s="195"/>
      <c r="H23" s="195"/>
      <c r="I23" s="195"/>
      <c r="J23" s="195"/>
      <c r="K23" s="195"/>
      <c r="L23" s="195"/>
      <c r="M23" s="168">
        <v>1</v>
      </c>
      <c r="N23" s="169"/>
      <c r="O23" s="147" t="s">
        <v>184</v>
      </c>
      <c r="P23" s="187">
        <v>44000</v>
      </c>
      <c r="Q23" s="188"/>
      <c r="R23" s="172">
        <f>P23*M23</f>
        <v>44000</v>
      </c>
      <c r="S23" s="173"/>
      <c r="T23" s="174"/>
      <c r="Y23" t="s">
        <v>70</v>
      </c>
      <c r="Z23" t="s">
        <v>71</v>
      </c>
      <c r="AL23" s="25" t="s">
        <v>72</v>
      </c>
    </row>
    <row r="24" spans="1:38" s="11" customFormat="1" ht="20.100000000000001" customHeight="1" x14ac:dyDescent="0.2">
      <c r="A24" s="52">
        <v>5</v>
      </c>
      <c r="B24" s="168"/>
      <c r="C24" s="193"/>
      <c r="D24" s="194"/>
      <c r="E24" s="195"/>
      <c r="F24" s="195"/>
      <c r="G24" s="195"/>
      <c r="H24" s="195"/>
      <c r="I24" s="195"/>
      <c r="J24" s="195"/>
      <c r="K24" s="195"/>
      <c r="L24" s="195"/>
      <c r="M24" s="168"/>
      <c r="N24" s="169"/>
      <c r="O24" s="97"/>
      <c r="P24" s="187"/>
      <c r="Q24" s="188"/>
      <c r="R24" s="172"/>
      <c r="S24" s="173"/>
      <c r="T24" s="174"/>
      <c r="Y24" s="132" t="s">
        <v>59</v>
      </c>
      <c r="Z24" s="132"/>
      <c r="AB24" s="181">
        <v>265500</v>
      </c>
      <c r="AC24" s="182"/>
      <c r="AD24" s="183"/>
      <c r="AL24" s="26" t="s">
        <v>73</v>
      </c>
    </row>
    <row r="25" spans="1:38" s="11" customFormat="1" ht="20.100000000000001" customHeight="1" x14ac:dyDescent="0.15">
      <c r="A25" s="52">
        <v>6</v>
      </c>
      <c r="B25" s="168"/>
      <c r="C25" s="193"/>
      <c r="D25" s="184"/>
      <c r="E25" s="185"/>
      <c r="F25" s="185"/>
      <c r="G25" s="185"/>
      <c r="H25" s="185"/>
      <c r="I25" s="185"/>
      <c r="J25" s="185"/>
      <c r="K25" s="185"/>
      <c r="L25" s="185"/>
      <c r="M25" s="168"/>
      <c r="N25" s="169"/>
      <c r="O25" s="97"/>
      <c r="P25" s="187"/>
      <c r="Q25" s="188"/>
      <c r="R25" s="172"/>
      <c r="S25" s="173"/>
      <c r="T25" s="174"/>
      <c r="Y25" s="132" t="s">
        <v>74</v>
      </c>
      <c r="Z25" s="132"/>
      <c r="AC25" s="11">
        <v>1380400</v>
      </c>
      <c r="AL25" s="26"/>
    </row>
    <row r="26" spans="1:38" s="11" customFormat="1" ht="20.100000000000001" customHeight="1" x14ac:dyDescent="0.15">
      <c r="A26" s="52">
        <v>7</v>
      </c>
      <c r="B26" s="168"/>
      <c r="C26" s="193"/>
      <c r="D26" s="184"/>
      <c r="E26" s="185"/>
      <c r="F26" s="185"/>
      <c r="G26" s="185"/>
      <c r="H26" s="185"/>
      <c r="I26" s="185"/>
      <c r="J26" s="185"/>
      <c r="K26" s="185"/>
      <c r="L26" s="185"/>
      <c r="M26" s="168"/>
      <c r="N26" s="169"/>
      <c r="O26" s="97"/>
      <c r="P26" s="187"/>
      <c r="Q26" s="188"/>
      <c r="R26" s="172"/>
      <c r="S26" s="173"/>
      <c r="T26" s="174"/>
      <c r="AL26" s="8" t="s">
        <v>75</v>
      </c>
    </row>
    <row r="27" spans="1:38" s="11" customFormat="1" ht="20.100000000000001" customHeight="1" x14ac:dyDescent="0.15">
      <c r="A27" s="52">
        <v>8</v>
      </c>
      <c r="B27" s="168"/>
      <c r="C27" s="193"/>
      <c r="D27" s="184"/>
      <c r="E27" s="185"/>
      <c r="F27" s="185"/>
      <c r="G27" s="185"/>
      <c r="H27" s="185"/>
      <c r="I27" s="185"/>
      <c r="J27" s="185"/>
      <c r="K27" s="185"/>
      <c r="L27" s="185"/>
      <c r="M27" s="168"/>
      <c r="N27" s="169"/>
      <c r="O27" s="97"/>
      <c r="P27" s="187"/>
      <c r="Q27" s="188"/>
      <c r="R27" s="172"/>
      <c r="S27" s="173"/>
      <c r="T27" s="174"/>
      <c r="AL27" s="34"/>
    </row>
    <row r="28" spans="1:38" s="11" customFormat="1" ht="20.100000000000001" customHeight="1" x14ac:dyDescent="0.15">
      <c r="A28" s="52">
        <v>9</v>
      </c>
      <c r="B28" s="168"/>
      <c r="C28" s="193"/>
      <c r="D28" s="184"/>
      <c r="E28" s="185"/>
      <c r="F28" s="185"/>
      <c r="G28" s="185"/>
      <c r="H28" s="185"/>
      <c r="I28" s="185"/>
      <c r="J28" s="185"/>
      <c r="K28" s="185"/>
      <c r="L28" s="185"/>
      <c r="M28" s="168"/>
      <c r="N28" s="169"/>
      <c r="O28" s="97"/>
      <c r="P28" s="187"/>
      <c r="Q28" s="188"/>
      <c r="R28" s="172"/>
      <c r="S28" s="173"/>
      <c r="T28" s="174"/>
      <c r="AL28" s="26"/>
    </row>
    <row r="29" spans="1:38" s="11" customFormat="1" ht="20.100000000000001" customHeight="1" x14ac:dyDescent="0.25">
      <c r="A29" s="54">
        <f>+A28+1</f>
        <v>10</v>
      </c>
      <c r="B29" s="163"/>
      <c r="C29" s="164"/>
      <c r="D29" s="184"/>
      <c r="E29" s="185"/>
      <c r="F29" s="185"/>
      <c r="G29" s="185"/>
      <c r="H29" s="185"/>
      <c r="I29" s="185"/>
      <c r="J29" s="185"/>
      <c r="K29" s="185"/>
      <c r="L29" s="185"/>
      <c r="M29" s="189"/>
      <c r="N29" s="190"/>
      <c r="O29" s="97"/>
      <c r="P29" s="191"/>
      <c r="Q29" s="192"/>
      <c r="R29" s="172"/>
      <c r="S29" s="173"/>
      <c r="T29" s="174"/>
      <c r="AL29" s="133" t="s">
        <v>76</v>
      </c>
    </row>
    <row r="30" spans="1:38" s="11" customFormat="1" ht="20.100000000000001" customHeight="1" x14ac:dyDescent="0.15">
      <c r="A30" s="54">
        <f t="shared" ref="A30:A41" si="0">+A29+1</f>
        <v>11</v>
      </c>
      <c r="B30" s="163"/>
      <c r="C30" s="164"/>
      <c r="D30" s="184"/>
      <c r="E30" s="185"/>
      <c r="F30" s="185"/>
      <c r="G30" s="185"/>
      <c r="H30" s="185"/>
      <c r="I30" s="185"/>
      <c r="J30" s="185"/>
      <c r="K30" s="185"/>
      <c r="L30" s="185"/>
      <c r="M30" s="168"/>
      <c r="N30" s="169"/>
      <c r="O30" s="97"/>
      <c r="P30" s="187"/>
      <c r="Q30" s="188"/>
      <c r="R30" s="172"/>
      <c r="S30" s="173"/>
      <c r="T30" s="174"/>
      <c r="AL30" s="42" t="s">
        <v>77</v>
      </c>
    </row>
    <row r="31" spans="1:38" s="11" customFormat="1" ht="20.100000000000001" customHeight="1" x14ac:dyDescent="0.15">
      <c r="A31" s="54">
        <f t="shared" si="0"/>
        <v>12</v>
      </c>
      <c r="B31" s="163"/>
      <c r="C31" s="164"/>
      <c r="D31" s="184"/>
      <c r="E31" s="185"/>
      <c r="F31" s="185"/>
      <c r="G31" s="185"/>
      <c r="H31" s="185"/>
      <c r="I31" s="185"/>
      <c r="J31" s="185"/>
      <c r="K31" s="185"/>
      <c r="L31" s="185"/>
      <c r="M31" s="168"/>
      <c r="N31" s="169"/>
      <c r="O31" s="97"/>
      <c r="P31" s="187"/>
      <c r="Q31" s="188"/>
      <c r="R31" s="172"/>
      <c r="S31" s="173"/>
      <c r="T31" s="174"/>
      <c r="AL31" s="44" t="s">
        <v>78</v>
      </c>
    </row>
    <row r="32" spans="1:38" s="11" customFormat="1" ht="20.100000000000001" customHeight="1" x14ac:dyDescent="0.15">
      <c r="A32" s="54">
        <f t="shared" si="0"/>
        <v>13</v>
      </c>
      <c r="B32" s="163"/>
      <c r="C32" s="164"/>
      <c r="D32" s="184"/>
      <c r="E32" s="185"/>
      <c r="F32" s="185"/>
      <c r="G32" s="185"/>
      <c r="H32" s="185"/>
      <c r="I32" s="185"/>
      <c r="J32" s="185"/>
      <c r="K32" s="185"/>
      <c r="L32" s="185"/>
      <c r="M32" s="168"/>
      <c r="N32" s="169"/>
      <c r="O32" s="97"/>
      <c r="P32" s="187"/>
      <c r="Q32" s="188"/>
      <c r="R32" s="172"/>
      <c r="S32" s="173"/>
      <c r="T32" s="174"/>
      <c r="AL32" s="44" t="s">
        <v>79</v>
      </c>
    </row>
    <row r="33" spans="1:38" s="11" customFormat="1" ht="20.100000000000001" customHeight="1" x14ac:dyDescent="0.15">
      <c r="A33" s="54">
        <f t="shared" si="0"/>
        <v>14</v>
      </c>
      <c r="B33" s="163"/>
      <c r="C33" s="164"/>
      <c r="D33" s="184"/>
      <c r="E33" s="185"/>
      <c r="F33" s="185"/>
      <c r="G33" s="185"/>
      <c r="H33" s="185"/>
      <c r="I33" s="185"/>
      <c r="J33" s="185"/>
      <c r="K33" s="185"/>
      <c r="L33" s="186"/>
      <c r="M33" s="168"/>
      <c r="N33" s="169"/>
      <c r="O33" s="97"/>
      <c r="P33" s="187"/>
      <c r="Q33" s="188"/>
      <c r="R33" s="172"/>
      <c r="S33" s="173"/>
      <c r="T33" s="174"/>
    </row>
    <row r="34" spans="1:38" s="11" customFormat="1" ht="20.100000000000001" customHeight="1" x14ac:dyDescent="0.15">
      <c r="A34" s="54">
        <f t="shared" si="0"/>
        <v>15</v>
      </c>
      <c r="B34" s="163"/>
      <c r="C34" s="164"/>
      <c r="D34" s="184"/>
      <c r="E34" s="185"/>
      <c r="F34" s="185"/>
      <c r="G34" s="185"/>
      <c r="H34" s="185"/>
      <c r="I34" s="185"/>
      <c r="J34" s="185"/>
      <c r="K34" s="185"/>
      <c r="L34" s="186"/>
      <c r="M34" s="168"/>
      <c r="N34" s="169"/>
      <c r="O34" s="97"/>
      <c r="P34" s="187"/>
      <c r="Q34" s="188"/>
      <c r="R34" s="172"/>
      <c r="S34" s="173"/>
      <c r="T34" s="174"/>
      <c r="AL34" s="21" t="s">
        <v>80</v>
      </c>
    </row>
    <row r="35" spans="1:38" s="11" customFormat="1" ht="19.899999999999999" customHeight="1" x14ac:dyDescent="0.15">
      <c r="A35" s="54">
        <f t="shared" si="0"/>
        <v>16</v>
      </c>
      <c r="B35" s="163"/>
      <c r="C35" s="164"/>
      <c r="D35" s="184"/>
      <c r="E35" s="185"/>
      <c r="F35" s="185"/>
      <c r="G35" s="185"/>
      <c r="H35" s="185"/>
      <c r="I35" s="185"/>
      <c r="J35" s="185"/>
      <c r="K35" s="185"/>
      <c r="L35" s="186"/>
      <c r="M35" s="168"/>
      <c r="N35" s="169"/>
      <c r="O35" s="97"/>
      <c r="P35" s="187"/>
      <c r="Q35" s="188"/>
      <c r="R35" s="172"/>
      <c r="S35" s="173"/>
      <c r="T35" s="174"/>
      <c r="AL35" s="134" t="s">
        <v>81</v>
      </c>
    </row>
    <row r="36" spans="1:38" s="11" customFormat="1" ht="19.899999999999999" customHeight="1" x14ac:dyDescent="0.15">
      <c r="A36" s="54">
        <v>17</v>
      </c>
      <c r="B36" s="168"/>
      <c r="C36" s="169"/>
      <c r="D36" s="53"/>
      <c r="E36" s="55"/>
      <c r="F36" s="55"/>
      <c r="G36" s="55"/>
      <c r="H36" s="55"/>
      <c r="I36" s="55"/>
      <c r="J36" s="55"/>
      <c r="K36" s="55"/>
      <c r="L36" s="98"/>
      <c r="M36" s="168"/>
      <c r="N36" s="169"/>
      <c r="O36" s="97"/>
      <c r="P36" s="187"/>
      <c r="Q36" s="188"/>
      <c r="R36" s="172"/>
      <c r="S36" s="173"/>
      <c r="T36" s="174"/>
      <c r="AL36" s="135" t="s">
        <v>82</v>
      </c>
    </row>
    <row r="37" spans="1:38" s="11" customFormat="1" ht="19.899999999999999" customHeight="1" x14ac:dyDescent="0.15">
      <c r="A37" s="54">
        <v>18</v>
      </c>
      <c r="B37" s="168"/>
      <c r="C37" s="169"/>
      <c r="D37" s="53"/>
      <c r="E37" s="55"/>
      <c r="F37" s="55"/>
      <c r="G37" s="55"/>
      <c r="H37" s="55"/>
      <c r="I37" s="55"/>
      <c r="J37" s="55"/>
      <c r="K37" s="55"/>
      <c r="L37" s="98"/>
      <c r="M37" s="168"/>
      <c r="N37" s="169"/>
      <c r="O37" s="97"/>
      <c r="P37" s="187"/>
      <c r="Q37" s="188"/>
      <c r="R37" s="172"/>
      <c r="S37" s="173"/>
      <c r="T37" s="174"/>
      <c r="AL37" s="135"/>
    </row>
    <row r="38" spans="1:38" s="11" customFormat="1" ht="20.100000000000001" customHeight="1" x14ac:dyDescent="0.15">
      <c r="A38" s="54">
        <v>19</v>
      </c>
      <c r="B38" s="163"/>
      <c r="C38" s="164"/>
      <c r="D38" s="184"/>
      <c r="E38" s="185"/>
      <c r="F38" s="185"/>
      <c r="G38" s="185"/>
      <c r="H38" s="185"/>
      <c r="I38" s="185"/>
      <c r="J38" s="185"/>
      <c r="K38" s="185"/>
      <c r="L38" s="186"/>
      <c r="M38" s="168"/>
      <c r="N38" s="169"/>
      <c r="O38" s="97"/>
      <c r="P38" s="187"/>
      <c r="Q38" s="188"/>
      <c r="R38" s="172"/>
      <c r="S38" s="173"/>
      <c r="T38" s="174"/>
      <c r="AL38" s="136" t="s">
        <v>83</v>
      </c>
    </row>
    <row r="39" spans="1:38" s="11" customFormat="1" ht="20.100000000000001" customHeight="1" x14ac:dyDescent="0.15">
      <c r="A39" s="54">
        <v>20</v>
      </c>
      <c r="B39" s="163"/>
      <c r="C39" s="164"/>
      <c r="D39" s="184"/>
      <c r="E39" s="185"/>
      <c r="F39" s="185"/>
      <c r="G39" s="185"/>
      <c r="H39" s="185"/>
      <c r="I39" s="185"/>
      <c r="J39" s="185"/>
      <c r="K39" s="185"/>
      <c r="L39" s="186"/>
      <c r="M39" s="168"/>
      <c r="N39" s="169"/>
      <c r="O39" s="97"/>
      <c r="P39" s="187"/>
      <c r="Q39" s="188"/>
      <c r="R39" s="172"/>
      <c r="S39" s="173"/>
      <c r="T39" s="174"/>
      <c r="AL39" s="137"/>
    </row>
    <row r="40" spans="1:38" s="11" customFormat="1" ht="20.100000000000001" customHeight="1" x14ac:dyDescent="0.15">
      <c r="A40" s="54">
        <f t="shared" si="0"/>
        <v>21</v>
      </c>
      <c r="B40" s="163"/>
      <c r="C40" s="164"/>
      <c r="D40" s="184"/>
      <c r="E40" s="185"/>
      <c r="F40" s="185"/>
      <c r="G40" s="185"/>
      <c r="H40" s="185"/>
      <c r="I40" s="185"/>
      <c r="J40" s="185"/>
      <c r="K40" s="185"/>
      <c r="L40" s="186"/>
      <c r="M40" s="168"/>
      <c r="N40" s="169"/>
      <c r="O40" s="97"/>
      <c r="P40" s="187"/>
      <c r="Q40" s="188"/>
      <c r="R40" s="172"/>
      <c r="S40" s="173"/>
      <c r="T40" s="174"/>
      <c r="AL40" s="135"/>
    </row>
    <row r="41" spans="1:38" s="11" customFormat="1" ht="20.100000000000001" customHeight="1" x14ac:dyDescent="0.2">
      <c r="A41" s="54">
        <f t="shared" si="0"/>
        <v>22</v>
      </c>
      <c r="B41" s="163"/>
      <c r="C41" s="164"/>
      <c r="D41" s="165"/>
      <c r="E41" s="166"/>
      <c r="F41" s="166"/>
      <c r="G41" s="166"/>
      <c r="H41" s="166"/>
      <c r="I41" s="166"/>
      <c r="J41" s="166"/>
      <c r="K41" s="166"/>
      <c r="L41" s="167"/>
      <c r="M41" s="168"/>
      <c r="N41" s="169"/>
      <c r="O41" s="97"/>
      <c r="P41" s="170"/>
      <c r="Q41" s="171"/>
      <c r="R41" s="172"/>
      <c r="S41" s="173"/>
      <c r="T41" s="174"/>
      <c r="AL41" s="138" t="s">
        <v>84</v>
      </c>
    </row>
    <row r="42" spans="1:38" s="11" customFormat="1" ht="20.100000000000001" customHeight="1" x14ac:dyDescent="0.15">
      <c r="A42" s="56" t="s">
        <v>85</v>
      </c>
      <c r="D42" s="175" t="s">
        <v>86</v>
      </c>
      <c r="E42" s="176"/>
      <c r="F42" s="176"/>
      <c r="G42" s="176"/>
      <c r="H42" s="176"/>
      <c r="I42" s="176"/>
      <c r="J42" s="176"/>
      <c r="K42" s="176"/>
      <c r="L42" s="176"/>
      <c r="M42" s="177" t="s">
        <v>87</v>
      </c>
      <c r="N42" s="178"/>
      <c r="O42" s="179"/>
      <c r="P42" s="179"/>
      <c r="Q42" s="180"/>
      <c r="R42" s="249">
        <f>SUM(R20:T41)</f>
        <v>57000</v>
      </c>
      <c r="S42" s="250"/>
      <c r="T42" s="251"/>
      <c r="AL42" s="139" t="s">
        <v>88</v>
      </c>
    </row>
    <row r="43" spans="1:38" s="12" customFormat="1" ht="15" customHeight="1" x14ac:dyDescent="0.15">
      <c r="H43" s="57"/>
      <c r="I43" s="63" t="s">
        <v>89</v>
      </c>
      <c r="J43" s="149" t="s">
        <v>2</v>
      </c>
      <c r="K43" s="149"/>
      <c r="AL43" s="140" t="s">
        <v>90</v>
      </c>
    </row>
    <row r="44" spans="1:38" s="13" customFormat="1" ht="15" customHeight="1" x14ac:dyDescent="0.15">
      <c r="A44" s="56"/>
      <c r="B44" s="58"/>
      <c r="D44" s="59"/>
      <c r="E44" s="150" t="s">
        <v>91</v>
      </c>
      <c r="F44" s="151"/>
      <c r="G44" s="12"/>
      <c r="H44" s="57"/>
      <c r="I44" s="99"/>
      <c r="J44" s="14"/>
      <c r="K44" s="12"/>
      <c r="L44" s="12"/>
      <c r="M44" s="59"/>
      <c r="N44" s="59"/>
      <c r="AL44" s="140" t="s">
        <v>92</v>
      </c>
    </row>
    <row r="45" spans="1:38" s="14" customFormat="1" ht="18" customHeight="1" x14ac:dyDescent="0.15">
      <c r="B45" s="60"/>
      <c r="E45" s="60"/>
      <c r="H45" s="61"/>
      <c r="I45" s="63" t="s">
        <v>93</v>
      </c>
      <c r="J45" s="100"/>
      <c r="K45" s="100"/>
      <c r="L45" s="12"/>
      <c r="M45" s="101" t="s">
        <v>94</v>
      </c>
      <c r="N45" s="102"/>
      <c r="O45" s="102"/>
      <c r="P45" s="102"/>
      <c r="Q45" s="102"/>
      <c r="R45" s="102"/>
      <c r="S45" s="102"/>
      <c r="T45" s="127"/>
    </row>
    <row r="46" spans="1:38" s="2" customFormat="1" ht="22.15" customHeight="1" x14ac:dyDescent="0.15">
      <c r="D46" s="14"/>
      <c r="H46" s="62"/>
      <c r="I46" s="63" t="s">
        <v>95</v>
      </c>
      <c r="J46" s="100"/>
      <c r="K46" s="100"/>
      <c r="L46" s="12"/>
      <c r="M46" s="103"/>
      <c r="N46" s="148" t="s">
        <v>185</v>
      </c>
      <c r="O46" s="104"/>
      <c r="P46" s="104"/>
      <c r="Q46" s="104"/>
      <c r="R46" s="104"/>
      <c r="S46" s="104"/>
      <c r="T46" s="128"/>
    </row>
    <row r="47" spans="1:38" s="2" customFormat="1" ht="19.899999999999999" customHeight="1" x14ac:dyDescent="0.15">
      <c r="A47" s="12"/>
      <c r="B47" s="12"/>
      <c r="C47" s="12"/>
      <c r="D47" s="14"/>
      <c r="E47" s="12"/>
      <c r="G47" s="63"/>
      <c r="H47" s="57"/>
      <c r="I47" s="63" t="s">
        <v>97</v>
      </c>
      <c r="J47" s="100"/>
      <c r="K47" s="100"/>
      <c r="M47" s="103"/>
      <c r="N47" s="152"/>
      <c r="O47" s="152"/>
      <c r="P47" s="152"/>
      <c r="Q47" s="152"/>
      <c r="R47" s="152"/>
      <c r="S47" s="152"/>
      <c r="T47" s="153"/>
    </row>
    <row r="48" spans="1:38" s="2" customFormat="1" ht="16.899999999999999" customHeight="1" x14ac:dyDescent="0.15">
      <c r="A48" s="13"/>
      <c r="B48" s="58"/>
      <c r="C48" s="13"/>
      <c r="D48" s="14"/>
      <c r="E48" s="58"/>
      <c r="F48" s="12"/>
      <c r="G48" s="12"/>
      <c r="H48" s="57"/>
      <c r="I48" s="63"/>
      <c r="J48" s="105"/>
      <c r="K48" s="105"/>
      <c r="M48" s="103"/>
      <c r="N48" s="154" t="s">
        <v>98</v>
      </c>
      <c r="O48" s="154"/>
      <c r="P48" s="154"/>
      <c r="Q48" s="154"/>
      <c r="R48" s="154"/>
      <c r="S48" s="154"/>
      <c r="T48" s="129"/>
    </row>
    <row r="49" spans="1:20" s="2" customFormat="1" ht="21" customHeight="1" x14ac:dyDescent="0.15">
      <c r="A49" s="13"/>
      <c r="B49" s="58"/>
      <c r="C49" s="13"/>
      <c r="D49" s="59"/>
      <c r="E49" s="58"/>
      <c r="F49" s="12"/>
      <c r="G49" s="12"/>
      <c r="H49" s="57"/>
      <c r="I49" s="63" t="s">
        <v>99</v>
      </c>
      <c r="J49" s="100"/>
      <c r="K49" s="100"/>
      <c r="M49" s="103"/>
      <c r="N49" s="106" t="s">
        <v>100</v>
      </c>
      <c r="O49" s="106"/>
      <c r="P49" s="107"/>
      <c r="Q49" s="107"/>
      <c r="R49" s="107"/>
      <c r="S49" s="107"/>
      <c r="T49" s="129"/>
    </row>
    <row r="50" spans="1:20" s="2" customFormat="1" ht="24" customHeight="1" x14ac:dyDescent="0.15">
      <c r="F50" s="14"/>
      <c r="H50" s="62"/>
      <c r="I50" s="63"/>
      <c r="J50" s="105"/>
      <c r="K50" s="105"/>
      <c r="M50" s="103"/>
      <c r="N50" s="106"/>
      <c r="O50" s="107"/>
      <c r="P50" s="107"/>
      <c r="Q50" s="107"/>
      <c r="R50" s="107"/>
      <c r="S50" s="107"/>
      <c r="T50" s="129"/>
    </row>
    <row r="51" spans="1:20" s="2" customFormat="1" ht="15" customHeight="1" x14ac:dyDescent="0.15">
      <c r="B51" s="64"/>
      <c r="C51" s="65"/>
      <c r="D51" s="66"/>
      <c r="E51" s="155" t="s">
        <v>101</v>
      </c>
      <c r="F51" s="155"/>
      <c r="G51" s="156"/>
      <c r="H51" s="57"/>
      <c r="I51" s="108" t="s">
        <v>102</v>
      </c>
      <c r="J51" s="159"/>
      <c r="K51" s="160"/>
      <c r="M51" s="103"/>
      <c r="N51" s="161"/>
      <c r="O51" s="161"/>
      <c r="P51" s="161"/>
      <c r="Q51" s="161"/>
      <c r="R51" s="161"/>
      <c r="S51" s="161"/>
      <c r="T51" s="162"/>
    </row>
    <row r="52" spans="1:20" s="2" customFormat="1" ht="15" customHeight="1" x14ac:dyDescent="0.15">
      <c r="A52" s="12"/>
      <c r="B52" s="12"/>
      <c r="C52" s="12"/>
      <c r="D52" s="12"/>
      <c r="E52" s="157"/>
      <c r="F52" s="157"/>
      <c r="G52" s="158"/>
      <c r="H52" s="12"/>
      <c r="M52" s="109"/>
      <c r="N52" s="110"/>
      <c r="O52" s="110"/>
      <c r="P52" s="110"/>
      <c r="Q52" s="110"/>
      <c r="R52" s="110"/>
      <c r="S52" s="110"/>
      <c r="T52" s="130"/>
    </row>
    <row r="53" spans="1:20" s="2" customFormat="1" ht="12" customHeight="1" x14ac:dyDescent="0.15">
      <c r="Q53" s="131"/>
    </row>
    <row r="54" spans="1:20" s="2" customFormat="1" ht="14.25" x14ac:dyDescent="0.15">
      <c r="A54" s="56"/>
      <c r="Q54" s="131" t="s">
        <v>103</v>
      </c>
    </row>
    <row r="55" spans="1:20" s="2" customFormat="1" x14ac:dyDescent="0.15">
      <c r="Q55" s="131"/>
    </row>
    <row r="56" spans="1:20" s="2" customFormat="1" x14ac:dyDescent="0.15">
      <c r="J56" s="111"/>
    </row>
    <row r="57" spans="1:20" s="2" customFormat="1" x14ac:dyDescent="0.15">
      <c r="N57" s="106" t="s">
        <v>104</v>
      </c>
    </row>
    <row r="58" spans="1:20" s="2" customFormat="1" x14ac:dyDescent="0.15"/>
    <row r="59" spans="1:20" s="2" customFormat="1" x14ac:dyDescent="0.15"/>
    <row r="60" spans="1:20" s="2" customFormat="1" x14ac:dyDescent="0.15"/>
    <row r="61" spans="1:20" s="2" customFormat="1" x14ac:dyDescent="0.15"/>
    <row r="62" spans="1:20" s="2" customFormat="1" x14ac:dyDescent="0.15"/>
    <row r="63" spans="1:20" s="2" customFormat="1" x14ac:dyDescent="0.15"/>
    <row r="64" spans="1:20" s="2" customFormat="1" x14ac:dyDescent="0.15"/>
    <row r="65" s="2" customFormat="1" x14ac:dyDescent="0.15"/>
    <row r="66" s="2" customFormat="1" x14ac:dyDescent="0.15"/>
    <row r="67" s="2" customFormat="1" x14ac:dyDescent="0.15"/>
    <row r="68" s="2" customFormat="1" x14ac:dyDescent="0.15"/>
    <row r="69" s="2" customFormat="1" x14ac:dyDescent="0.15"/>
    <row r="70" s="2" customFormat="1" x14ac:dyDescent="0.15"/>
    <row r="71" s="2" customFormat="1" x14ac:dyDescent="0.15"/>
    <row r="72" s="2" customFormat="1" x14ac:dyDescent="0.15"/>
    <row r="73" s="2" customFormat="1" x14ac:dyDescent="0.15"/>
    <row r="74" s="2" customFormat="1" x14ac:dyDescent="0.15"/>
    <row r="75" s="2" customFormat="1" x14ac:dyDescent="0.15"/>
    <row r="76" s="2" customFormat="1" x14ac:dyDescent="0.15"/>
    <row r="77" s="2" customFormat="1" x14ac:dyDescent="0.15"/>
    <row r="78" s="2" customFormat="1" x14ac:dyDescent="0.15"/>
    <row r="79" s="2" customFormat="1" x14ac:dyDescent="0.15"/>
    <row r="80" s="2" customFormat="1" x14ac:dyDescent="0.15"/>
    <row r="81" s="2" customFormat="1" x14ac:dyDescent="0.15"/>
    <row r="82" s="2" customFormat="1" x14ac:dyDescent="0.15"/>
    <row r="83" s="2" customFormat="1" x14ac:dyDescent="0.15"/>
    <row r="84" s="2" customFormat="1" x14ac:dyDescent="0.15"/>
    <row r="85" s="2" customFormat="1" x14ac:dyDescent="0.15"/>
    <row r="86" s="2" customFormat="1" x14ac:dyDescent="0.15"/>
    <row r="87" s="2" customFormat="1" x14ac:dyDescent="0.15"/>
    <row r="88" s="2" customFormat="1" x14ac:dyDescent="0.15"/>
    <row r="89" s="2" customFormat="1" x14ac:dyDescent="0.15"/>
    <row r="90" s="2" customFormat="1" x14ac:dyDescent="0.15"/>
    <row r="91" s="2" customFormat="1" x14ac:dyDescent="0.15"/>
    <row r="92" s="2" customFormat="1" x14ac:dyDescent="0.15"/>
    <row r="93" s="2" customFormat="1" x14ac:dyDescent="0.15"/>
    <row r="94" s="2" customFormat="1" x14ac:dyDescent="0.15"/>
    <row r="95" s="2" customFormat="1" x14ac:dyDescent="0.15"/>
    <row r="96" s="2" customFormat="1" x14ac:dyDescent="0.15"/>
    <row r="97" s="2" customFormat="1" x14ac:dyDescent="0.15"/>
    <row r="98" s="2" customFormat="1" x14ac:dyDescent="0.15"/>
    <row r="99" s="2" customFormat="1" x14ac:dyDescent="0.15"/>
    <row r="100" s="2" customFormat="1" x14ac:dyDescent="0.15"/>
    <row r="101" s="2" customFormat="1" x14ac:dyDescent="0.15"/>
    <row r="102" s="2" customFormat="1" x14ac:dyDescent="0.15"/>
    <row r="103" s="2" customFormat="1" x14ac:dyDescent="0.15"/>
    <row r="104" s="2" customFormat="1" x14ac:dyDescent="0.15"/>
    <row r="105" s="2" customFormat="1" x14ac:dyDescent="0.15"/>
    <row r="106" s="2" customFormat="1" x14ac:dyDescent="0.15"/>
    <row r="107" s="2" customFormat="1" x14ac:dyDescent="0.15"/>
    <row r="108" s="2" customFormat="1" x14ac:dyDescent="0.15"/>
    <row r="109" s="2" customFormat="1" x14ac:dyDescent="0.15"/>
    <row r="110" s="2" customFormat="1" x14ac:dyDescent="0.15"/>
    <row r="111" s="2" customFormat="1" x14ac:dyDescent="0.15"/>
    <row r="112" s="2" customFormat="1" x14ac:dyDescent="0.15"/>
    <row r="113" s="2" customFormat="1" x14ac:dyDescent="0.15"/>
    <row r="114" s="2" customFormat="1" x14ac:dyDescent="0.15"/>
    <row r="115" s="2" customFormat="1" x14ac:dyDescent="0.15"/>
    <row r="116" s="2" customFormat="1" x14ac:dyDescent="0.15"/>
    <row r="117" s="2" customFormat="1" x14ac:dyDescent="0.15"/>
    <row r="118" s="2" customFormat="1" x14ac:dyDescent="0.15"/>
    <row r="119" s="2" customFormat="1" x14ac:dyDescent="0.15"/>
    <row r="120" s="2" customFormat="1" x14ac:dyDescent="0.15"/>
    <row r="121" s="2" customFormat="1" x14ac:dyDescent="0.15"/>
    <row r="122" s="2" customFormat="1" x14ac:dyDescent="0.15"/>
    <row r="123" s="2" customFormat="1" x14ac:dyDescent="0.15"/>
    <row r="124" s="2" customFormat="1" x14ac:dyDescent="0.15"/>
    <row r="125" s="2" customFormat="1" x14ac:dyDescent="0.15"/>
    <row r="126" s="2" customFormat="1" x14ac:dyDescent="0.15"/>
    <row r="127" s="2" customFormat="1" x14ac:dyDescent="0.15"/>
    <row r="128" s="2" customFormat="1" x14ac:dyDescent="0.15"/>
    <row r="129" s="2" customFormat="1" x14ac:dyDescent="0.15"/>
    <row r="130" s="2" customFormat="1" x14ac:dyDescent="0.15"/>
    <row r="131" s="2" customFormat="1" x14ac:dyDescent="0.15"/>
    <row r="132" s="2" customFormat="1" x14ac:dyDescent="0.15"/>
    <row r="133" s="2" customFormat="1" x14ac:dyDescent="0.15"/>
    <row r="134" s="2" customFormat="1" x14ac:dyDescent="0.15"/>
    <row r="135" s="2" customFormat="1" x14ac:dyDescent="0.15"/>
    <row r="136" s="2" customFormat="1" x14ac:dyDescent="0.15"/>
    <row r="137" s="2" customFormat="1" x14ac:dyDescent="0.15"/>
    <row r="138" s="2" customFormat="1" x14ac:dyDescent="0.15"/>
    <row r="139" s="2" customFormat="1" x14ac:dyDescent="0.15"/>
    <row r="140" s="2" customFormat="1" x14ac:dyDescent="0.15"/>
    <row r="141" s="2" customFormat="1" x14ac:dyDescent="0.15"/>
    <row r="142" s="2" customFormat="1" x14ac:dyDescent="0.15"/>
    <row r="143" s="2" customFormat="1" x14ac:dyDescent="0.15"/>
    <row r="144" s="2" customFormat="1" x14ac:dyDescent="0.15"/>
    <row r="145" s="2" customFormat="1" x14ac:dyDescent="0.15"/>
    <row r="146" s="2" customFormat="1" x14ac:dyDescent="0.15"/>
    <row r="147" s="2" customFormat="1" x14ac:dyDescent="0.15"/>
    <row r="148" s="2" customFormat="1" x14ac:dyDescent="0.15"/>
    <row r="149" s="2" customFormat="1" x14ac:dyDescent="0.15"/>
    <row r="150" s="2" customFormat="1" x14ac:dyDescent="0.15"/>
    <row r="151" s="2" customFormat="1" x14ac:dyDescent="0.15"/>
    <row r="152" s="2" customFormat="1" x14ac:dyDescent="0.15"/>
    <row r="153" s="2" customFormat="1" x14ac:dyDescent="0.15"/>
    <row r="154" s="2" customFormat="1" x14ac:dyDescent="0.15"/>
    <row r="155" s="2" customFormat="1" x14ac:dyDescent="0.15"/>
    <row r="156" s="2" customFormat="1" x14ac:dyDescent="0.15"/>
    <row r="157" s="2" customFormat="1" x14ac:dyDescent="0.15"/>
    <row r="158" s="2" customFormat="1" x14ac:dyDescent="0.15"/>
    <row r="159" s="2" customFormat="1" x14ac:dyDescent="0.15"/>
    <row r="160" s="2" customFormat="1" x14ac:dyDescent="0.15"/>
    <row r="161" s="2" customFormat="1" x14ac:dyDescent="0.15"/>
    <row r="162" s="2" customFormat="1" x14ac:dyDescent="0.15"/>
    <row r="163" s="2" customFormat="1" x14ac:dyDescent="0.15"/>
    <row r="164" s="2" customFormat="1" x14ac:dyDescent="0.15"/>
    <row r="165" s="2" customFormat="1" x14ac:dyDescent="0.15"/>
    <row r="166" s="2" customFormat="1" x14ac:dyDescent="0.15"/>
    <row r="167" s="2" customFormat="1" x14ac:dyDescent="0.15"/>
    <row r="168" s="2" customFormat="1" x14ac:dyDescent="0.15"/>
    <row r="169" s="2" customFormat="1" x14ac:dyDescent="0.15"/>
    <row r="170" s="2" customFormat="1" x14ac:dyDescent="0.15"/>
    <row r="171" s="2" customFormat="1" x14ac:dyDescent="0.15"/>
    <row r="172" s="2" customFormat="1" x14ac:dyDescent="0.15"/>
    <row r="173" s="2" customFormat="1" x14ac:dyDescent="0.15"/>
    <row r="174" s="2" customFormat="1" x14ac:dyDescent="0.15"/>
    <row r="175" s="2" customFormat="1" x14ac:dyDescent="0.15"/>
    <row r="176" s="2" customFormat="1" x14ac:dyDescent="0.15"/>
    <row r="177" s="2" customFormat="1" x14ac:dyDescent="0.15"/>
    <row r="178" s="2" customFormat="1" x14ac:dyDescent="0.15"/>
    <row r="179" s="2" customFormat="1" x14ac:dyDescent="0.15"/>
    <row r="180" s="2" customFormat="1" x14ac:dyDescent="0.15"/>
    <row r="181" s="2" customFormat="1" x14ac:dyDescent="0.15"/>
    <row r="182" s="2" customFormat="1" x14ac:dyDescent="0.15"/>
    <row r="183" s="2" customFormat="1" x14ac:dyDescent="0.15"/>
    <row r="184" s="2" customFormat="1" x14ac:dyDescent="0.15"/>
    <row r="185" s="2" customFormat="1" x14ac:dyDescent="0.15"/>
    <row r="186" s="2" customFormat="1" x14ac:dyDescent="0.15"/>
    <row r="187" s="2" customFormat="1" x14ac:dyDescent="0.15"/>
    <row r="188" s="2" customFormat="1" x14ac:dyDescent="0.15"/>
    <row r="189" s="2" customFormat="1" x14ac:dyDescent="0.15"/>
    <row r="190" s="2" customFormat="1" x14ac:dyDescent="0.15"/>
    <row r="191" s="2" customFormat="1" x14ac:dyDescent="0.15"/>
    <row r="192" s="2" customFormat="1" x14ac:dyDescent="0.15"/>
    <row r="193" s="2" customFormat="1" x14ac:dyDescent="0.15"/>
    <row r="194" s="2" customFormat="1" x14ac:dyDescent="0.15"/>
    <row r="195" s="2" customFormat="1" x14ac:dyDescent="0.15"/>
    <row r="196" s="2" customFormat="1" x14ac:dyDescent="0.15"/>
    <row r="197" s="2" customFormat="1" x14ac:dyDescent="0.15"/>
    <row r="198" s="2" customFormat="1" x14ac:dyDescent="0.15"/>
    <row r="199" s="2" customFormat="1" x14ac:dyDescent="0.15"/>
    <row r="200" s="2" customFormat="1" x14ac:dyDescent="0.15"/>
    <row r="201" s="2" customFormat="1" x14ac:dyDescent="0.15"/>
    <row r="202" s="2" customFormat="1" x14ac:dyDescent="0.15"/>
    <row r="203" s="2" customFormat="1" x14ac:dyDescent="0.15"/>
    <row r="204" s="2" customFormat="1" x14ac:dyDescent="0.15"/>
    <row r="205" s="2" customFormat="1" x14ac:dyDescent="0.15"/>
    <row r="206" s="2" customFormat="1" x14ac:dyDescent="0.15"/>
    <row r="207" s="2" customFormat="1" x14ac:dyDescent="0.15"/>
    <row r="208" s="2" customFormat="1" x14ac:dyDescent="0.15"/>
    <row r="209" s="2" customFormat="1" x14ac:dyDescent="0.15"/>
    <row r="210" s="2" customFormat="1" x14ac:dyDescent="0.15"/>
    <row r="211" s="2" customFormat="1" x14ac:dyDescent="0.15"/>
    <row r="212" s="2" customFormat="1" x14ac:dyDescent="0.15"/>
    <row r="213" s="2" customFormat="1" x14ac:dyDescent="0.15"/>
    <row r="214" s="2" customFormat="1" x14ac:dyDescent="0.15"/>
    <row r="215" s="2" customFormat="1" x14ac:dyDescent="0.15"/>
    <row r="216" s="2" customFormat="1" x14ac:dyDescent="0.15"/>
    <row r="217" s="2" customFormat="1" x14ac:dyDescent="0.15"/>
    <row r="218" s="2" customFormat="1" x14ac:dyDescent="0.15"/>
    <row r="219" s="2" customFormat="1" x14ac:dyDescent="0.15"/>
    <row r="220" s="2" customFormat="1" x14ac:dyDescent="0.15"/>
    <row r="221" s="2" customFormat="1" x14ac:dyDescent="0.15"/>
    <row r="222" s="2" customFormat="1" x14ac:dyDescent="0.15"/>
    <row r="223" s="2" customFormat="1" x14ac:dyDescent="0.15"/>
    <row r="224" s="2" customFormat="1" x14ac:dyDescent="0.15"/>
    <row r="225" s="2" customFormat="1" x14ac:dyDescent="0.15"/>
    <row r="226" s="2" customFormat="1" x14ac:dyDescent="0.15"/>
    <row r="227" s="2" customFormat="1" x14ac:dyDescent="0.15"/>
    <row r="228" s="2" customFormat="1" x14ac:dyDescent="0.15"/>
    <row r="229" s="2" customFormat="1" x14ac:dyDescent="0.15"/>
    <row r="230" s="2" customFormat="1" x14ac:dyDescent="0.15"/>
    <row r="231" s="2" customFormat="1" x14ac:dyDescent="0.15"/>
    <row r="232" s="2" customFormat="1" x14ac:dyDescent="0.15"/>
    <row r="233" s="2" customFormat="1" x14ac:dyDescent="0.15"/>
    <row r="234" s="2" customFormat="1" x14ac:dyDescent="0.15"/>
    <row r="235" s="2" customFormat="1" x14ac:dyDescent="0.15"/>
    <row r="236" s="2" customFormat="1" x14ac:dyDescent="0.15"/>
    <row r="237" s="2" customFormat="1" x14ac:dyDescent="0.15"/>
    <row r="238" s="2" customFormat="1" x14ac:dyDescent="0.15"/>
    <row r="239" s="2" customFormat="1" x14ac:dyDescent="0.15"/>
  </sheetData>
  <mergeCells count="154">
    <mergeCell ref="S2:T2"/>
    <mergeCell ref="C3:D3"/>
    <mergeCell ref="S3:T3"/>
    <mergeCell ref="K4:L4"/>
    <mergeCell ref="N4:O4"/>
    <mergeCell ref="S4:T4"/>
    <mergeCell ref="P5:T5"/>
    <mergeCell ref="J6:K6"/>
    <mergeCell ref="R6:S6"/>
    <mergeCell ref="J7:K7"/>
    <mergeCell ref="N7:O7"/>
    <mergeCell ref="M11:N11"/>
    <mergeCell ref="P11:Q11"/>
    <mergeCell ref="J12:K12"/>
    <mergeCell ref="J13:K13"/>
    <mergeCell ref="M14:N14"/>
    <mergeCell ref="P14:Q14"/>
    <mergeCell ref="R14:T14"/>
    <mergeCell ref="M15:N15"/>
    <mergeCell ref="P15:Q15"/>
    <mergeCell ref="R15:T15"/>
    <mergeCell ref="A16:C16"/>
    <mergeCell ref="D16:T16"/>
    <mergeCell ref="O17:Q17"/>
    <mergeCell ref="R17:T17"/>
    <mergeCell ref="M18:N18"/>
    <mergeCell ref="P18:Q18"/>
    <mergeCell ref="R18:T18"/>
    <mergeCell ref="B19:C19"/>
    <mergeCell ref="D19:L19"/>
    <mergeCell ref="M19:N19"/>
    <mergeCell ref="P19:Q19"/>
    <mergeCell ref="B20:C20"/>
    <mergeCell ref="D20:L20"/>
    <mergeCell ref="M20:N20"/>
    <mergeCell ref="P20:Q20"/>
    <mergeCell ref="R20:T20"/>
    <mergeCell ref="B21:C21"/>
    <mergeCell ref="D21:L21"/>
    <mergeCell ref="M21:N21"/>
    <mergeCell ref="P21:Q21"/>
    <mergeCell ref="R21:T21"/>
    <mergeCell ref="B22:C22"/>
    <mergeCell ref="D22:L22"/>
    <mergeCell ref="M22:N22"/>
    <mergeCell ref="P22:Q22"/>
    <mergeCell ref="R22:T22"/>
    <mergeCell ref="B23:C23"/>
    <mergeCell ref="D23:L23"/>
    <mergeCell ref="M23:N23"/>
    <mergeCell ref="P23:Q23"/>
    <mergeCell ref="R23:T23"/>
    <mergeCell ref="B24:C24"/>
    <mergeCell ref="D24:L24"/>
    <mergeCell ref="M24:N24"/>
    <mergeCell ref="P24:Q24"/>
    <mergeCell ref="R24:T24"/>
    <mergeCell ref="AB24:AD24"/>
    <mergeCell ref="B25:C25"/>
    <mergeCell ref="D25:L25"/>
    <mergeCell ref="M25:N25"/>
    <mergeCell ref="P25:Q25"/>
    <mergeCell ref="R25:T25"/>
    <mergeCell ref="B26:C26"/>
    <mergeCell ref="D26:L26"/>
    <mergeCell ref="M26:N26"/>
    <mergeCell ref="P26:Q26"/>
    <mergeCell ref="R26:T26"/>
    <mergeCell ref="B27:C27"/>
    <mergeCell ref="D27:L27"/>
    <mergeCell ref="M27:N27"/>
    <mergeCell ref="P27:Q27"/>
    <mergeCell ref="R27:T27"/>
    <mergeCell ref="B28:C28"/>
    <mergeCell ref="D28:L28"/>
    <mergeCell ref="M28:N28"/>
    <mergeCell ref="P28:Q28"/>
    <mergeCell ref="R28:T28"/>
    <mergeCell ref="B29:C29"/>
    <mergeCell ref="D29:L29"/>
    <mergeCell ref="M29:N29"/>
    <mergeCell ref="P29:Q29"/>
    <mergeCell ref="R29:T29"/>
    <mergeCell ref="B30:C30"/>
    <mergeCell ref="D30:L30"/>
    <mergeCell ref="M30:N30"/>
    <mergeCell ref="P30:Q30"/>
    <mergeCell ref="R30:T30"/>
    <mergeCell ref="B31:C31"/>
    <mergeCell ref="D31:L31"/>
    <mergeCell ref="M31:N31"/>
    <mergeCell ref="P31:Q31"/>
    <mergeCell ref="R31:T31"/>
    <mergeCell ref="B32:C32"/>
    <mergeCell ref="D32:L32"/>
    <mergeCell ref="M32:N32"/>
    <mergeCell ref="P32:Q32"/>
    <mergeCell ref="R32:T32"/>
    <mergeCell ref="B33:C33"/>
    <mergeCell ref="D33:L33"/>
    <mergeCell ref="M33:N33"/>
    <mergeCell ref="P33:Q33"/>
    <mergeCell ref="R33:T33"/>
    <mergeCell ref="B34:C34"/>
    <mergeCell ref="D34:L34"/>
    <mergeCell ref="M34:N34"/>
    <mergeCell ref="P34:Q34"/>
    <mergeCell ref="R34:T34"/>
    <mergeCell ref="B35:C35"/>
    <mergeCell ref="D35:L35"/>
    <mergeCell ref="M35:N35"/>
    <mergeCell ref="P35:Q35"/>
    <mergeCell ref="R35:T35"/>
    <mergeCell ref="B36:C36"/>
    <mergeCell ref="M36:N36"/>
    <mergeCell ref="P36:Q36"/>
    <mergeCell ref="R36:T36"/>
    <mergeCell ref="D40:L40"/>
    <mergeCell ref="M40:N40"/>
    <mergeCell ref="P40:Q40"/>
    <mergeCell ref="R40:T40"/>
    <mergeCell ref="B37:C37"/>
    <mergeCell ref="M37:N37"/>
    <mergeCell ref="P37:Q37"/>
    <mergeCell ref="R37:T37"/>
    <mergeCell ref="B38:C38"/>
    <mergeCell ref="D38:L38"/>
    <mergeCell ref="M38:N38"/>
    <mergeCell ref="P38:Q38"/>
    <mergeCell ref="R38:T38"/>
    <mergeCell ref="E44:F44"/>
    <mergeCell ref="N47:T47"/>
    <mergeCell ref="N48:S48"/>
    <mergeCell ref="J51:K51"/>
    <mergeCell ref="N51:T51"/>
    <mergeCell ref="A17:A18"/>
    <mergeCell ref="E51:G52"/>
    <mergeCell ref="B17:C18"/>
    <mergeCell ref="D17:L18"/>
    <mergeCell ref="B41:C41"/>
    <mergeCell ref="D41:L41"/>
    <mergeCell ref="M41:N41"/>
    <mergeCell ref="P41:Q41"/>
    <mergeCell ref="R41:T41"/>
    <mergeCell ref="D42:L42"/>
    <mergeCell ref="M42:Q42"/>
    <mergeCell ref="R42:T42"/>
    <mergeCell ref="J43:K43"/>
    <mergeCell ref="B39:C39"/>
    <mergeCell ref="D39:L39"/>
    <mergeCell ref="M39:N39"/>
    <mergeCell ref="P39:Q39"/>
    <mergeCell ref="R39:T39"/>
    <mergeCell ref="B40:C40"/>
  </mergeCells>
  <dataValidations count="3">
    <dataValidation type="list" allowBlank="1" showInputMessage="1" showErrorMessage="1" sqref="K3:Q3" xr:uid="{00000000-0002-0000-0000-000001000000}">
      <formula1>$Y$19:$Y$25</formula1>
    </dataValidation>
    <dataValidation type="list" allowBlank="1" showInputMessage="1" showErrorMessage="1" sqref="G47" xr:uid="{00000000-0002-0000-0000-000004000000}">
      <formula1>sales</formula1>
    </dataValidation>
    <dataValidation type="list" allowBlank="1" showInputMessage="1" showErrorMessage="1" sqref="J48:K48 J50:K50" xr:uid="{00000000-0002-0000-0000-000005000000}">
      <formula1>$Z$19:$Z$21</formula1>
    </dataValidation>
  </dataValidations>
  <printOptions horizontalCentered="1" verticalCentered="1"/>
  <pageMargins left="0.27559055118110198" right="0.31496062992126" top="0.196850393700787" bottom="0.15748031496063" header="0.31496062992126" footer="0.23622047244094499"/>
  <pageSetup paperSize="9" scale="57" orientation="landscape" horizontalDpi="360" verticalDpi="360" r:id="rId1"/>
  <headerFooter alignWithMargins="0">
    <oddHeader>&amp;L&amp;"Arial,Italic"&amp;8Distribution:
Sales Dept. &amp; Sales Engineer&amp;"Arial,Regular"&amp;10</oddHeader>
    <oddFooter>&amp;C&amp;Z&amp;F</oddFooter>
  </headerFooter>
  <rowBreaks count="1" manualBreakCount="1">
    <brk id="54" max="19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50" r:id="rId4" name="Check Box 126">
              <controlPr defaultSize="0" autoPict="0">
                <anchor moveWithCells="1" sizeWithCells="1">
                  <from>
                    <xdr:col>9</xdr:col>
                    <xdr:colOff>0</xdr:colOff>
                    <xdr:row>3</xdr:row>
                    <xdr:rowOff>7620</xdr:rowOff>
                  </from>
                  <to>
                    <xdr:col>9</xdr:col>
                    <xdr:colOff>678180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5" name="Check Box 127">
              <controlPr defaultSize="0" autoPict="0">
                <anchor moveWithCells="1" sizeWithCells="1">
                  <from>
                    <xdr:col>9</xdr:col>
                    <xdr:colOff>1021080</xdr:colOff>
                    <xdr:row>3</xdr:row>
                    <xdr:rowOff>7620</xdr:rowOff>
                  </from>
                  <to>
                    <xdr:col>11</xdr:col>
                    <xdr:colOff>449580</xdr:colOff>
                    <xdr:row>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" name="Check Box 129">
              <controlPr locked="0" defaultSize="0" autoPict="0">
                <anchor moveWithCells="1" sizeWithCells="1">
                  <from>
                    <xdr:col>12</xdr:col>
                    <xdr:colOff>114300</xdr:colOff>
                    <xdr:row>3</xdr:row>
                    <xdr:rowOff>15240</xdr:rowOff>
                  </from>
                  <to>
                    <xdr:col>14</xdr:col>
                    <xdr:colOff>236220</xdr:colOff>
                    <xdr:row>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" name="Check Box 130">
              <controlPr defaultSize="0" autoPict="0">
                <anchor moveWithCells="1" sizeWithCells="1">
                  <from>
                    <xdr:col>14</xdr:col>
                    <xdr:colOff>944880</xdr:colOff>
                    <xdr:row>3</xdr:row>
                    <xdr:rowOff>7620</xdr:rowOff>
                  </from>
                  <to>
                    <xdr:col>16</xdr:col>
                    <xdr:colOff>502920</xdr:colOff>
                    <xdr:row>3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8" name="Check Box 144">
              <controlPr defaultSize="0" autoPict="0">
                <anchor moveWithCells="1" sizeWithCells="1">
                  <from>
                    <xdr:col>14</xdr:col>
                    <xdr:colOff>0</xdr:colOff>
                    <xdr:row>12</xdr:row>
                    <xdr:rowOff>0</xdr:rowOff>
                  </from>
                  <to>
                    <xdr:col>14</xdr:col>
                    <xdr:colOff>617220</xdr:colOff>
                    <xdr:row>12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9" name="Check Box 145">
              <controlPr defaultSize="0" autoPict="0">
                <anchor moveWithCells="1" sizeWithCells="1">
                  <from>
                    <xdr:col>16</xdr:col>
                    <xdr:colOff>388620</xdr:colOff>
                    <xdr:row>12</xdr:row>
                    <xdr:rowOff>7620</xdr:rowOff>
                  </from>
                  <to>
                    <xdr:col>17</xdr:col>
                    <xdr:colOff>487680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10" name="Check Box 146">
              <controlPr defaultSize="0" autoPict="0">
                <anchor moveWithCells="1" sizeWithCells="1">
                  <from>
                    <xdr:col>14</xdr:col>
                    <xdr:colOff>990600</xdr:colOff>
                    <xdr:row>12</xdr:row>
                    <xdr:rowOff>7620</xdr:rowOff>
                  </from>
                  <to>
                    <xdr:col>16</xdr:col>
                    <xdr:colOff>68580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11" name="Check Box 147">
              <controlPr defaultSize="0" autoPict="0">
                <anchor moveWithCells="1" sizeWithCells="1">
                  <from>
                    <xdr:col>11</xdr:col>
                    <xdr:colOff>381000</xdr:colOff>
                    <xdr:row>12</xdr:row>
                    <xdr:rowOff>7620</xdr:rowOff>
                  </from>
                  <to>
                    <xdr:col>13</xdr:col>
                    <xdr:colOff>335280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12" name="Check Box 148">
              <controlPr defaultSize="0" autoPict="0">
                <anchor moveWithCells="1" sizeWithCells="1">
                  <from>
                    <xdr:col>18</xdr:col>
                    <xdr:colOff>7620</xdr:colOff>
                    <xdr:row>12</xdr:row>
                    <xdr:rowOff>7620</xdr:rowOff>
                  </from>
                  <to>
                    <xdr:col>19</xdr:col>
                    <xdr:colOff>350520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3" name="Check Box 164">
              <controlPr locked="0" defaultSize="0" autoPict="0">
                <anchor>
                  <from>
                    <xdr:col>0</xdr:col>
                    <xdr:colOff>274320</xdr:colOff>
                    <xdr:row>44</xdr:row>
                    <xdr:rowOff>160020</xdr:rowOff>
                  </from>
                  <to>
                    <xdr:col>2</xdr:col>
                    <xdr:colOff>2781300</xdr:colOff>
                    <xdr:row>45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4" name="Check Box 165">
              <controlPr locked="0" defaultSize="0" autoPict="0">
                <anchor>
                  <from>
                    <xdr:col>0</xdr:col>
                    <xdr:colOff>281940</xdr:colOff>
                    <xdr:row>45</xdr:row>
                    <xdr:rowOff>137160</xdr:rowOff>
                  </from>
                  <to>
                    <xdr:col>2</xdr:col>
                    <xdr:colOff>2811780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5" name="Check Box 166">
              <controlPr locked="0" defaultSize="0" autoPict="0">
                <anchor>
                  <from>
                    <xdr:col>0</xdr:col>
                    <xdr:colOff>274320</xdr:colOff>
                    <xdr:row>43</xdr:row>
                    <xdr:rowOff>129540</xdr:rowOff>
                  </from>
                  <to>
                    <xdr:col>2</xdr:col>
                    <xdr:colOff>3611880</xdr:colOff>
                    <xdr:row>45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6" name="Check Box 167">
              <controlPr locked="0" defaultSize="0" autoPict="0">
                <anchor>
                  <from>
                    <xdr:col>0</xdr:col>
                    <xdr:colOff>274320</xdr:colOff>
                    <xdr:row>46</xdr:row>
                    <xdr:rowOff>38100</xdr:rowOff>
                  </from>
                  <to>
                    <xdr:col>2</xdr:col>
                    <xdr:colOff>3002280</xdr:colOff>
                    <xdr:row>46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7" name="Check Box 168">
              <controlPr locked="0" defaultSize="0" autoPict="0">
                <anchor>
                  <from>
                    <xdr:col>0</xdr:col>
                    <xdr:colOff>274320</xdr:colOff>
                    <xdr:row>46</xdr:row>
                    <xdr:rowOff>228600</xdr:rowOff>
                  </from>
                  <to>
                    <xdr:col>2</xdr:col>
                    <xdr:colOff>2987040</xdr:colOff>
                    <xdr:row>47</xdr:row>
                    <xdr:rowOff>129540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8" name="Check Box 273">
              <controlPr locked="0" defaultSize="0" autoPict="0">
                <anchor>
                  <from>
                    <xdr:col>0</xdr:col>
                    <xdr:colOff>274320</xdr:colOff>
                    <xdr:row>47</xdr:row>
                    <xdr:rowOff>129540</xdr:rowOff>
                  </from>
                  <to>
                    <xdr:col>2</xdr:col>
                    <xdr:colOff>3649980</xdr:colOff>
                    <xdr:row>48</xdr:row>
                    <xdr:rowOff>106680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9" name="Check Box 163">
              <controlPr locked="0" defaultSize="0" autoPict="0">
                <anchor>
                  <from>
                    <xdr:col>0</xdr:col>
                    <xdr:colOff>274320</xdr:colOff>
                    <xdr:row>43</xdr:row>
                    <xdr:rowOff>7620</xdr:rowOff>
                  </from>
                  <to>
                    <xdr:col>2</xdr:col>
                    <xdr:colOff>2689860</xdr:colOff>
                    <xdr:row>44</xdr:row>
                    <xdr:rowOff>7620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0000000}">
          <x14:formula1>
            <xm:f>data!$B$2:$B$6</xm:f>
          </x14:formula1>
          <xm:sqref>J3</xm:sqref>
        </x14:dataValidation>
        <x14:dataValidation type="list" allowBlank="1" showInputMessage="1" showErrorMessage="1" xr:uid="{00000000-0002-0000-0000-000002000000}">
          <x14:formula1>
            <xm:f>data!$A$2:$A$26</xm:f>
          </x14:formula1>
          <xm:sqref>C15</xm:sqref>
        </x14:dataValidation>
        <x14:dataValidation type="list" allowBlank="1" showInputMessage="1" showErrorMessage="1" xr:uid="{00000000-0002-0000-0000-000003000000}">
          <x14:formula1>
            <xm:f>data!$B$2:$B$7</xm:f>
          </x14:formula1>
          <xm:sqref>J43:K43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autoPageBreaks="0"/>
  </sheetPr>
  <dimension ref="A2:AL239"/>
  <sheetViews>
    <sheetView view="pageBreakPreview" zoomScale="70" zoomScaleNormal="78" workbookViewId="0">
      <selection activeCell="C4" sqref="C4"/>
    </sheetView>
  </sheetViews>
  <sheetFormatPr defaultColWidth="9.03515625" defaultRowHeight="12.75" x14ac:dyDescent="0.15"/>
  <cols>
    <col min="1" max="1" width="4.71875" customWidth="1"/>
    <col min="2" max="2" width="9.70703125" customWidth="1"/>
    <col min="3" max="3" width="58.79296875" customWidth="1"/>
    <col min="4" max="4" width="4.71875" customWidth="1"/>
    <col min="5" max="5" width="7.01171875" hidden="1" customWidth="1"/>
    <col min="6" max="6" width="0.26953125" hidden="1" customWidth="1"/>
    <col min="7" max="7" width="0.1328125" hidden="1" customWidth="1"/>
    <col min="8" max="8" width="1.6171875" hidden="1" customWidth="1"/>
    <col min="9" max="9" width="26.29296875" customWidth="1"/>
    <col min="10" max="10" width="19.01171875" customWidth="1"/>
    <col min="11" max="11" width="10.65234375" customWidth="1"/>
    <col min="12" max="12" width="8.62890625" customWidth="1"/>
    <col min="13" max="13" width="4.71875" customWidth="1"/>
    <col min="14" max="14" width="10.65234375" customWidth="1"/>
    <col min="15" max="15" width="17.6640625" customWidth="1"/>
    <col min="16" max="16" width="9.70703125" customWidth="1"/>
    <col min="17" max="17" width="8.62890625" customWidth="1"/>
    <col min="18" max="18" width="11.8671875" customWidth="1"/>
    <col min="19" max="19" width="6.875" customWidth="1"/>
    <col min="20" max="20" width="15.37109375" customWidth="1"/>
    <col min="22" max="23" width="9.03515625" hidden="1" customWidth="1"/>
    <col min="24" max="24" width="9.16796875" hidden="1" customWidth="1"/>
    <col min="25" max="25" width="19.8203125" hidden="1" customWidth="1"/>
    <col min="26" max="26" width="40.05078125" hidden="1" customWidth="1"/>
    <col min="27" max="27" width="9.16796875" hidden="1" customWidth="1"/>
    <col min="29" max="29" width="9.4375" customWidth="1"/>
  </cols>
  <sheetData>
    <row r="2" spans="1:38" ht="24" customHeight="1" x14ac:dyDescent="0.15">
      <c r="C2" s="8"/>
      <c r="I2" s="67" t="s">
        <v>0</v>
      </c>
      <c r="J2" s="67"/>
      <c r="K2" s="68"/>
      <c r="L2" s="67"/>
      <c r="N2" s="69"/>
      <c r="P2" s="67"/>
      <c r="S2" s="243"/>
      <c r="T2" s="243"/>
    </row>
    <row r="3" spans="1:38" s="2" customFormat="1" ht="20.100000000000001" customHeight="1" x14ac:dyDescent="0.15">
      <c r="A3" s="15"/>
      <c r="B3" s="16"/>
      <c r="C3" s="244"/>
      <c r="D3" s="244"/>
      <c r="E3" s="17"/>
      <c r="F3" s="17"/>
      <c r="G3" s="17"/>
      <c r="H3" s="18"/>
      <c r="I3" s="59" t="s">
        <v>1</v>
      </c>
      <c r="J3" s="70" t="s">
        <v>2</v>
      </c>
      <c r="K3" s="70"/>
      <c r="L3" s="70"/>
      <c r="M3" s="70"/>
      <c r="N3" s="70"/>
      <c r="O3" s="70"/>
      <c r="P3" s="70"/>
      <c r="Q3" s="70"/>
      <c r="R3" s="108" t="s">
        <v>3</v>
      </c>
      <c r="S3" s="240" t="s">
        <v>105</v>
      </c>
      <c r="T3" s="240"/>
    </row>
    <row r="4" spans="1:38" s="2" customFormat="1" ht="20.100000000000001" customHeight="1" x14ac:dyDescent="0.15">
      <c r="A4" s="19" t="s">
        <v>4</v>
      </c>
      <c r="B4" s="20"/>
      <c r="C4" s="21" t="s">
        <v>69</v>
      </c>
      <c r="D4" s="22"/>
      <c r="E4" s="23"/>
      <c r="F4" s="23"/>
      <c r="G4" s="23"/>
      <c r="H4" s="24"/>
      <c r="I4" s="71" t="s">
        <v>5</v>
      </c>
      <c r="J4" s="72" t="s">
        <v>6</v>
      </c>
      <c r="K4" s="245" t="s">
        <v>7</v>
      </c>
      <c r="L4" s="245"/>
      <c r="M4" s="73"/>
      <c r="N4" s="246" t="s">
        <v>8</v>
      </c>
      <c r="O4" s="246"/>
      <c r="P4" s="73" t="s">
        <v>9</v>
      </c>
      <c r="Q4" s="112"/>
      <c r="R4" s="112"/>
      <c r="S4" s="247"/>
      <c r="T4" s="248"/>
    </row>
    <row r="5" spans="1:38" s="2" customFormat="1" ht="20.100000000000001" customHeight="1" x14ac:dyDescent="0.15">
      <c r="A5" s="19" t="s">
        <v>10</v>
      </c>
      <c r="B5" s="20"/>
      <c r="C5" s="25" t="s">
        <v>72</v>
      </c>
      <c r="D5" s="26"/>
      <c r="E5" s="26"/>
      <c r="F5" s="26"/>
      <c r="G5" s="26"/>
      <c r="H5" s="27"/>
      <c r="I5" s="74" t="s">
        <v>11</v>
      </c>
      <c r="J5" s="2" t="s">
        <v>12</v>
      </c>
      <c r="K5" s="75"/>
      <c r="L5" s="75"/>
      <c r="M5" s="75"/>
      <c r="N5" s="75"/>
      <c r="O5" s="75"/>
      <c r="P5" s="234"/>
      <c r="Q5" s="234"/>
      <c r="R5" s="234"/>
      <c r="S5" s="234"/>
      <c r="T5" s="235"/>
    </row>
    <row r="6" spans="1:38" s="2" customFormat="1" ht="15" x14ac:dyDescent="0.15">
      <c r="A6" s="19" t="s">
        <v>13</v>
      </c>
      <c r="B6" s="28"/>
      <c r="C6" s="26" t="s">
        <v>73</v>
      </c>
      <c r="D6" s="26"/>
      <c r="E6" s="26"/>
      <c r="F6" s="26"/>
      <c r="G6" s="26"/>
      <c r="H6" s="24"/>
      <c r="I6" s="74" t="s">
        <v>14</v>
      </c>
      <c r="J6" s="236">
        <v>12200</v>
      </c>
      <c r="K6" s="236"/>
      <c r="L6" s="76"/>
      <c r="M6" s="77"/>
      <c r="N6" s="78"/>
      <c r="O6" s="79"/>
      <c r="P6" s="14"/>
      <c r="Q6" s="14"/>
      <c r="R6" s="237"/>
      <c r="S6" s="237"/>
      <c r="T6" s="113"/>
    </row>
    <row r="7" spans="1:38" s="2" customFormat="1" ht="20.100000000000001" customHeight="1" x14ac:dyDescent="0.15">
      <c r="A7" s="29"/>
      <c r="B7" s="20"/>
      <c r="C7" s="26"/>
      <c r="D7" s="30"/>
      <c r="E7" s="30"/>
      <c r="F7" s="30"/>
      <c r="G7" s="30"/>
      <c r="H7" s="24"/>
      <c r="I7" s="74" t="s">
        <v>15</v>
      </c>
      <c r="J7" s="238" t="s">
        <v>106</v>
      </c>
      <c r="K7" s="239"/>
      <c r="L7" s="39"/>
      <c r="M7" s="39" t="s">
        <v>16</v>
      </c>
      <c r="N7" s="240" t="s">
        <v>105</v>
      </c>
      <c r="O7" s="240"/>
      <c r="P7" s="14" t="s">
        <v>17</v>
      </c>
      <c r="Q7" s="14"/>
      <c r="R7" s="114">
        <v>26196</v>
      </c>
      <c r="S7" s="115"/>
      <c r="T7" s="116"/>
    </row>
    <row r="8" spans="1:38" s="2" customFormat="1" ht="20.100000000000001" customHeight="1" x14ac:dyDescent="0.15">
      <c r="A8" s="19" t="s">
        <v>18</v>
      </c>
      <c r="B8" s="20"/>
      <c r="C8" s="8" t="s">
        <v>107</v>
      </c>
      <c r="D8" s="31"/>
      <c r="E8" s="31"/>
      <c r="F8" s="31"/>
      <c r="G8" s="31"/>
      <c r="H8" s="32"/>
      <c r="I8" s="74" t="s">
        <v>19</v>
      </c>
      <c r="J8" s="80" t="s">
        <v>101</v>
      </c>
      <c r="K8" s="81"/>
      <c r="L8" s="82"/>
      <c r="M8" s="14"/>
      <c r="N8" s="14"/>
      <c r="O8" s="78"/>
      <c r="P8" s="78"/>
      <c r="Q8" s="78"/>
      <c r="R8" s="39"/>
      <c r="S8" s="78"/>
      <c r="T8" s="117"/>
    </row>
    <row r="9" spans="1:38" s="2" customFormat="1" ht="20.100000000000001" customHeight="1" x14ac:dyDescent="0.15">
      <c r="A9" s="19" t="s">
        <v>20</v>
      </c>
      <c r="B9" s="33"/>
      <c r="C9" s="34"/>
      <c r="D9" s="26"/>
      <c r="E9" s="26"/>
      <c r="F9" s="35"/>
      <c r="G9" s="35"/>
      <c r="H9" s="27"/>
      <c r="I9" s="74" t="s">
        <v>21</v>
      </c>
      <c r="J9" s="83" t="s">
        <v>22</v>
      </c>
      <c r="K9" s="14" t="s">
        <v>23</v>
      </c>
      <c r="L9" s="39" t="s">
        <v>24</v>
      </c>
      <c r="M9" s="84"/>
      <c r="N9" s="84"/>
      <c r="O9" s="84"/>
      <c r="P9" s="84"/>
      <c r="Q9" s="118"/>
      <c r="R9" s="39"/>
      <c r="S9" s="87"/>
      <c r="T9" s="119"/>
      <c r="AD9" s="2" t="s">
        <v>25</v>
      </c>
    </row>
    <row r="10" spans="1:38" s="2" customFormat="1" ht="20.100000000000001" customHeight="1" x14ac:dyDescent="0.15">
      <c r="A10" s="19"/>
      <c r="B10" s="28"/>
      <c r="C10" s="26"/>
      <c r="D10" s="26"/>
      <c r="E10" s="26"/>
      <c r="F10" s="35"/>
      <c r="G10" s="35"/>
      <c r="H10" s="24"/>
      <c r="I10" s="19" t="s">
        <v>26</v>
      </c>
      <c r="J10" s="85" t="s">
        <v>22</v>
      </c>
      <c r="K10" s="14" t="s">
        <v>23</v>
      </c>
      <c r="L10" s="39" t="s">
        <v>27</v>
      </c>
      <c r="M10" s="35"/>
      <c r="N10" s="35"/>
      <c r="O10" s="35"/>
      <c r="P10" s="35"/>
      <c r="Q10" s="118"/>
      <c r="R10" s="39"/>
      <c r="S10" s="87"/>
      <c r="T10" s="119"/>
    </row>
    <row r="11" spans="1:38" s="2" customFormat="1" ht="17.25" x14ac:dyDescent="0.25">
      <c r="A11" s="19" t="s">
        <v>28</v>
      </c>
      <c r="B11" s="36"/>
      <c r="C11" s="37" t="s">
        <v>76</v>
      </c>
      <c r="D11" s="38"/>
      <c r="E11" s="38"/>
      <c r="F11" s="39"/>
      <c r="G11" s="40"/>
      <c r="H11" s="24"/>
      <c r="I11" s="19"/>
      <c r="J11" s="86"/>
      <c r="L11" s="39"/>
      <c r="M11" s="241"/>
      <c r="N11" s="241"/>
      <c r="O11" s="60"/>
      <c r="P11" s="242"/>
      <c r="Q11" s="242"/>
      <c r="R11" s="39"/>
      <c r="S11" s="120"/>
      <c r="T11" s="121"/>
      <c r="AD11" s="21" t="s">
        <v>29</v>
      </c>
      <c r="AL11" s="21" t="s">
        <v>30</v>
      </c>
    </row>
    <row r="12" spans="1:38" s="2" customFormat="1" ht="20.100000000000001" customHeight="1" x14ac:dyDescent="0.15">
      <c r="A12" s="19" t="s">
        <v>31</v>
      </c>
      <c r="B12" s="41"/>
      <c r="C12" s="42" t="s">
        <v>77</v>
      </c>
      <c r="D12" s="43"/>
      <c r="E12" s="43"/>
      <c r="F12" s="39"/>
      <c r="G12" s="26"/>
      <c r="H12" s="24"/>
      <c r="I12" s="74"/>
      <c r="J12" s="229"/>
      <c r="K12" s="229"/>
      <c r="L12" s="88"/>
      <c r="M12" s="89"/>
      <c r="N12" s="39"/>
      <c r="O12" s="89"/>
      <c r="P12" s="89"/>
      <c r="Q12" s="14"/>
      <c r="R12" s="60"/>
      <c r="S12" s="88"/>
      <c r="T12" s="122"/>
      <c r="AD12" s="25" t="s">
        <v>32</v>
      </c>
      <c r="AL12" s="25" t="s">
        <v>33</v>
      </c>
    </row>
    <row r="13" spans="1:38" s="2" customFormat="1" ht="20.100000000000001" customHeight="1" x14ac:dyDescent="0.15">
      <c r="A13" s="19" t="s">
        <v>34</v>
      </c>
      <c r="B13" s="20"/>
      <c r="C13" s="44" t="s">
        <v>108</v>
      </c>
      <c r="D13" s="26"/>
      <c r="E13" s="26"/>
      <c r="F13" s="45"/>
      <c r="G13" s="45"/>
      <c r="H13" s="24"/>
      <c r="I13" s="74" t="s">
        <v>35</v>
      </c>
      <c r="J13" s="229"/>
      <c r="K13" s="229"/>
      <c r="L13" s="88"/>
      <c r="M13" s="89" t="s">
        <v>36</v>
      </c>
      <c r="N13" s="39"/>
      <c r="O13" s="89" t="s">
        <v>37</v>
      </c>
      <c r="P13" s="14" t="s">
        <v>38</v>
      </c>
      <c r="Q13" s="88"/>
      <c r="R13" s="14" t="s">
        <v>39</v>
      </c>
      <c r="S13" s="14" t="s">
        <v>40</v>
      </c>
      <c r="T13" s="123"/>
      <c r="AD13" s="26"/>
      <c r="AL13" s="26" t="s">
        <v>41</v>
      </c>
    </row>
    <row r="14" spans="1:38" s="2" customFormat="1" ht="20.100000000000001" customHeight="1" x14ac:dyDescent="0.15">
      <c r="A14" s="46"/>
      <c r="C14" s="47" t="s">
        <v>79</v>
      </c>
      <c r="D14" s="26"/>
      <c r="E14" s="26"/>
      <c r="F14" s="30"/>
      <c r="G14" s="30"/>
      <c r="H14" s="24"/>
      <c r="I14" s="90"/>
      <c r="J14" s="91"/>
      <c r="L14" s="92"/>
      <c r="M14" s="230"/>
      <c r="N14" s="230"/>
      <c r="O14" s="89"/>
      <c r="P14" s="229"/>
      <c r="Q14" s="229"/>
      <c r="R14" s="229"/>
      <c r="S14" s="229"/>
      <c r="T14" s="231"/>
      <c r="AD14" s="26"/>
      <c r="AL14" s="26"/>
    </row>
    <row r="15" spans="1:38" s="2" customFormat="1" ht="20.100000000000001" customHeight="1" x14ac:dyDescent="0.15">
      <c r="A15" s="19" t="s">
        <v>42</v>
      </c>
      <c r="B15" s="28"/>
      <c r="C15" s="48"/>
      <c r="D15" s="49"/>
      <c r="E15" s="49"/>
      <c r="F15" s="49"/>
      <c r="G15" s="49"/>
      <c r="H15" s="50"/>
      <c r="I15" s="74"/>
      <c r="J15" s="87"/>
      <c r="K15" s="13"/>
      <c r="L15" s="92"/>
      <c r="M15" s="232"/>
      <c r="N15" s="233"/>
      <c r="O15" s="93"/>
      <c r="P15" s="229"/>
      <c r="Q15" s="229"/>
      <c r="R15" s="229"/>
      <c r="S15" s="229"/>
      <c r="T15" s="231"/>
      <c r="AD15" s="8" t="s">
        <v>43</v>
      </c>
      <c r="AL15" s="8" t="s">
        <v>44</v>
      </c>
    </row>
    <row r="16" spans="1:38" s="9" customFormat="1" ht="20.100000000000001" customHeight="1" x14ac:dyDescent="0.15">
      <c r="A16" s="207" t="s">
        <v>45</v>
      </c>
      <c r="B16" s="208"/>
      <c r="C16" s="208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10"/>
      <c r="AD16" s="34" t="s">
        <v>46</v>
      </c>
      <c r="AL16" s="34" t="s">
        <v>47</v>
      </c>
    </row>
    <row r="17" spans="1:38" s="2" customFormat="1" ht="17.100000000000001" customHeight="1" x14ac:dyDescent="0.15">
      <c r="A17" s="211" t="s">
        <v>48</v>
      </c>
      <c r="B17" s="213" t="s">
        <v>49</v>
      </c>
      <c r="C17" s="214"/>
      <c r="D17" s="217" t="s">
        <v>50</v>
      </c>
      <c r="E17" s="217"/>
      <c r="F17" s="217"/>
      <c r="G17" s="217"/>
      <c r="H17" s="217"/>
      <c r="I17" s="217"/>
      <c r="J17" s="217"/>
      <c r="K17" s="217"/>
      <c r="L17" s="217"/>
      <c r="M17" s="46"/>
      <c r="N17" s="94"/>
      <c r="O17" s="219"/>
      <c r="P17" s="219"/>
      <c r="Q17" s="220"/>
      <c r="R17" s="221"/>
      <c r="S17" s="219"/>
      <c r="T17" s="220"/>
      <c r="AD17" s="26"/>
      <c r="AL17" s="26"/>
    </row>
    <row r="18" spans="1:38" s="10" customFormat="1" ht="15" customHeight="1" x14ac:dyDescent="0.25">
      <c r="A18" s="212"/>
      <c r="B18" s="215"/>
      <c r="C18" s="216"/>
      <c r="D18" s="218"/>
      <c r="E18" s="218"/>
      <c r="F18" s="218"/>
      <c r="G18" s="218"/>
      <c r="H18" s="218"/>
      <c r="I18" s="218"/>
      <c r="J18" s="218"/>
      <c r="K18" s="218"/>
      <c r="L18" s="218"/>
      <c r="M18" s="222" t="s">
        <v>51</v>
      </c>
      <c r="N18" s="223"/>
      <c r="O18" s="95" t="s">
        <v>52</v>
      </c>
      <c r="P18" s="224" t="s">
        <v>53</v>
      </c>
      <c r="Q18" s="225"/>
      <c r="R18" s="226" t="s">
        <v>54</v>
      </c>
      <c r="S18" s="227"/>
      <c r="T18" s="228"/>
      <c r="Y18" s="8" t="s">
        <v>55</v>
      </c>
      <c r="AD18" s="37" t="s">
        <v>56</v>
      </c>
      <c r="AL18" s="133" t="s">
        <v>57</v>
      </c>
    </row>
    <row r="19" spans="1:38" s="11" customFormat="1" ht="8.25" customHeight="1" x14ac:dyDescent="0.15">
      <c r="A19" s="51"/>
      <c r="B19" s="198"/>
      <c r="C19" s="199"/>
      <c r="D19" s="200"/>
      <c r="E19" s="201"/>
      <c r="F19" s="201"/>
      <c r="G19" s="201"/>
      <c r="H19" s="201"/>
      <c r="I19" s="201"/>
      <c r="J19" s="201"/>
      <c r="K19" s="201"/>
      <c r="L19" s="202"/>
      <c r="M19" s="203"/>
      <c r="N19" s="204"/>
      <c r="O19" s="96"/>
      <c r="P19" s="205"/>
      <c r="Q19" s="206"/>
      <c r="R19" s="124"/>
      <c r="S19" s="125"/>
      <c r="T19" s="126"/>
      <c r="Y19" t="s">
        <v>58</v>
      </c>
      <c r="Z19" s="132" t="s">
        <v>59</v>
      </c>
      <c r="AD19" s="42" t="s">
        <v>60</v>
      </c>
      <c r="AL19" s="42" t="s">
        <v>61</v>
      </c>
    </row>
    <row r="20" spans="1:38" s="11" customFormat="1" ht="20.100000000000001" customHeight="1" x14ac:dyDescent="0.2">
      <c r="A20" s="52">
        <v>1</v>
      </c>
      <c r="B20" s="168"/>
      <c r="C20" s="193"/>
      <c r="D20" s="194" t="s">
        <v>109</v>
      </c>
      <c r="E20" s="195"/>
      <c r="F20" s="195"/>
      <c r="G20" s="195"/>
      <c r="H20" s="195"/>
      <c r="I20" s="195"/>
      <c r="J20" s="195"/>
      <c r="K20" s="195"/>
      <c r="L20" s="195"/>
      <c r="M20" s="168">
        <v>1</v>
      </c>
      <c r="N20" s="169"/>
      <c r="O20" s="97" t="s">
        <v>110</v>
      </c>
      <c r="P20" s="187">
        <v>8200</v>
      </c>
      <c r="Q20" s="188"/>
      <c r="R20" s="172">
        <f>P20*M20</f>
        <v>8200</v>
      </c>
      <c r="S20" s="173"/>
      <c r="T20" s="174"/>
      <c r="Y20" t="s">
        <v>62</v>
      </c>
      <c r="Z20" t="s">
        <v>63</v>
      </c>
      <c r="AD20" s="44" t="s">
        <v>64</v>
      </c>
      <c r="AL20" s="44" t="s">
        <v>47</v>
      </c>
    </row>
    <row r="21" spans="1:38" s="11" customFormat="1" ht="20.100000000000001" customHeight="1" x14ac:dyDescent="0.2">
      <c r="A21" s="52">
        <v>2</v>
      </c>
      <c r="B21" s="168"/>
      <c r="C21" s="193"/>
      <c r="D21" s="194"/>
      <c r="E21" s="195"/>
      <c r="F21" s="195"/>
      <c r="G21" s="195"/>
      <c r="H21" s="195"/>
      <c r="I21" s="195"/>
      <c r="J21" s="195"/>
      <c r="K21" s="195"/>
      <c r="L21" s="195"/>
      <c r="M21" s="168"/>
      <c r="N21" s="169"/>
      <c r="O21" s="97"/>
      <c r="P21" s="187"/>
      <c r="Q21" s="188"/>
      <c r="R21" s="172"/>
      <c r="S21" s="173"/>
      <c r="T21" s="174"/>
      <c r="Y21" t="s">
        <v>65</v>
      </c>
      <c r="Z21" t="s">
        <v>66</v>
      </c>
      <c r="AD21" s="47" t="s">
        <v>67</v>
      </c>
    </row>
    <row r="22" spans="1:38" s="11" customFormat="1" ht="20.100000000000001" customHeight="1" x14ac:dyDescent="0.2">
      <c r="A22" s="52">
        <v>3</v>
      </c>
      <c r="B22" s="196"/>
      <c r="C22" s="197"/>
      <c r="D22" s="194" t="s">
        <v>111</v>
      </c>
      <c r="E22" s="195"/>
      <c r="F22" s="195"/>
      <c r="G22" s="195"/>
      <c r="H22" s="195"/>
      <c r="I22" s="195"/>
      <c r="J22" s="195"/>
      <c r="K22" s="195"/>
      <c r="L22" s="195"/>
      <c r="M22" s="168"/>
      <c r="N22" s="169"/>
      <c r="O22" s="97"/>
      <c r="P22" s="187"/>
      <c r="Q22" s="188"/>
      <c r="R22" s="172"/>
      <c r="S22" s="173"/>
      <c r="T22" s="174"/>
      <c r="Y22" t="s">
        <v>68</v>
      </c>
      <c r="Z22"/>
      <c r="AL22" s="21" t="s">
        <v>69</v>
      </c>
    </row>
    <row r="23" spans="1:38" s="11" customFormat="1" ht="20.100000000000001" customHeight="1" x14ac:dyDescent="0.2">
      <c r="A23" s="52">
        <v>4</v>
      </c>
      <c r="B23" s="168"/>
      <c r="C23" s="193"/>
      <c r="D23" s="194" t="s">
        <v>112</v>
      </c>
      <c r="E23" s="195"/>
      <c r="F23" s="195"/>
      <c r="G23" s="195"/>
      <c r="H23" s="195"/>
      <c r="I23" s="195"/>
      <c r="J23" s="195"/>
      <c r="K23" s="195"/>
      <c r="L23" s="195"/>
      <c r="M23" s="168"/>
      <c r="N23" s="169"/>
      <c r="O23" s="97"/>
      <c r="P23" s="187"/>
      <c r="Q23" s="188"/>
      <c r="R23" s="172"/>
      <c r="S23" s="173"/>
      <c r="T23" s="174"/>
      <c r="Y23" t="s">
        <v>70</v>
      </c>
      <c r="Z23" t="s">
        <v>71</v>
      </c>
      <c r="AL23" s="25" t="s">
        <v>72</v>
      </c>
    </row>
    <row r="24" spans="1:38" s="11" customFormat="1" ht="20.100000000000001" customHeight="1" x14ac:dyDescent="0.2">
      <c r="A24" s="52">
        <v>5</v>
      </c>
      <c r="B24" s="168"/>
      <c r="C24" s="193"/>
      <c r="D24" s="194"/>
      <c r="E24" s="195"/>
      <c r="F24" s="195"/>
      <c r="G24" s="195"/>
      <c r="H24" s="195"/>
      <c r="I24" s="195"/>
      <c r="J24" s="195"/>
      <c r="K24" s="195"/>
      <c r="L24" s="195"/>
      <c r="M24" s="168"/>
      <c r="N24" s="169"/>
      <c r="O24" s="97"/>
      <c r="P24" s="187"/>
      <c r="Q24" s="188"/>
      <c r="R24" s="172"/>
      <c r="S24" s="173"/>
      <c r="T24" s="174"/>
      <c r="Y24" s="132" t="s">
        <v>59</v>
      </c>
      <c r="Z24" s="132"/>
      <c r="AB24" s="181">
        <v>265500</v>
      </c>
      <c r="AC24" s="182"/>
      <c r="AD24" s="183"/>
      <c r="AL24" s="26" t="s">
        <v>73</v>
      </c>
    </row>
    <row r="25" spans="1:38" s="11" customFormat="1" ht="20.100000000000001" customHeight="1" x14ac:dyDescent="0.15">
      <c r="A25" s="52">
        <v>6</v>
      </c>
      <c r="B25" s="168"/>
      <c r="C25" s="193"/>
      <c r="D25" s="184"/>
      <c r="E25" s="185"/>
      <c r="F25" s="185"/>
      <c r="G25" s="185"/>
      <c r="H25" s="185"/>
      <c r="I25" s="185"/>
      <c r="J25" s="185"/>
      <c r="K25" s="185"/>
      <c r="L25" s="185"/>
      <c r="M25" s="168"/>
      <c r="N25" s="169"/>
      <c r="O25" s="97"/>
      <c r="P25" s="187"/>
      <c r="Q25" s="188"/>
      <c r="R25" s="172"/>
      <c r="S25" s="173"/>
      <c r="T25" s="174"/>
      <c r="Y25" s="132" t="s">
        <v>74</v>
      </c>
      <c r="Z25" s="132"/>
      <c r="AC25" s="11">
        <v>1380400</v>
      </c>
      <c r="AL25" s="26"/>
    </row>
    <row r="26" spans="1:38" s="11" customFormat="1" ht="20.100000000000001" customHeight="1" x14ac:dyDescent="0.15">
      <c r="A26" s="52">
        <v>7</v>
      </c>
      <c r="B26" s="168"/>
      <c r="C26" s="193"/>
      <c r="D26" s="184"/>
      <c r="E26" s="185"/>
      <c r="F26" s="185"/>
      <c r="G26" s="185"/>
      <c r="H26" s="185"/>
      <c r="I26" s="185"/>
      <c r="J26" s="185"/>
      <c r="K26" s="185"/>
      <c r="L26" s="185"/>
      <c r="M26" s="168"/>
      <c r="N26" s="169"/>
      <c r="O26" s="97"/>
      <c r="P26" s="187"/>
      <c r="Q26" s="188"/>
      <c r="R26" s="172"/>
      <c r="S26" s="173"/>
      <c r="T26" s="174"/>
      <c r="AL26" s="8" t="s">
        <v>75</v>
      </c>
    </row>
    <row r="27" spans="1:38" s="11" customFormat="1" ht="20.100000000000001" customHeight="1" x14ac:dyDescent="0.15">
      <c r="A27" s="52">
        <v>8</v>
      </c>
      <c r="B27" s="168"/>
      <c r="C27" s="193"/>
      <c r="D27" s="184"/>
      <c r="E27" s="185"/>
      <c r="F27" s="185"/>
      <c r="G27" s="185"/>
      <c r="H27" s="185"/>
      <c r="I27" s="185"/>
      <c r="J27" s="185"/>
      <c r="K27" s="185"/>
      <c r="L27" s="185"/>
      <c r="M27" s="168"/>
      <c r="N27" s="169"/>
      <c r="O27" s="97"/>
      <c r="P27" s="187"/>
      <c r="Q27" s="188"/>
      <c r="R27" s="172"/>
      <c r="S27" s="173"/>
      <c r="T27" s="174"/>
      <c r="AL27" s="34"/>
    </row>
    <row r="28" spans="1:38" s="11" customFormat="1" ht="20.100000000000001" customHeight="1" x14ac:dyDescent="0.15">
      <c r="A28" s="52">
        <v>9</v>
      </c>
      <c r="B28" s="168"/>
      <c r="C28" s="193"/>
      <c r="D28" s="184"/>
      <c r="E28" s="185"/>
      <c r="F28" s="185"/>
      <c r="G28" s="185"/>
      <c r="H28" s="185"/>
      <c r="I28" s="185"/>
      <c r="J28" s="185"/>
      <c r="K28" s="185"/>
      <c r="L28" s="185"/>
      <c r="M28" s="168"/>
      <c r="N28" s="169"/>
      <c r="O28" s="97"/>
      <c r="P28" s="187"/>
      <c r="Q28" s="188"/>
      <c r="R28" s="172"/>
      <c r="S28" s="173"/>
      <c r="T28" s="174"/>
      <c r="AL28" s="26"/>
    </row>
    <row r="29" spans="1:38" s="11" customFormat="1" ht="20.100000000000001" customHeight="1" x14ac:dyDescent="0.25">
      <c r="A29" s="54">
        <f t="shared" ref="A29:A35" si="0">+A28+1</f>
        <v>10</v>
      </c>
      <c r="B29" s="163"/>
      <c r="C29" s="164"/>
      <c r="D29" s="184"/>
      <c r="E29" s="185"/>
      <c r="F29" s="185"/>
      <c r="G29" s="185"/>
      <c r="H29" s="185"/>
      <c r="I29" s="185"/>
      <c r="J29" s="185"/>
      <c r="K29" s="185"/>
      <c r="L29" s="185"/>
      <c r="M29" s="189"/>
      <c r="N29" s="190"/>
      <c r="O29" s="97"/>
      <c r="P29" s="191"/>
      <c r="Q29" s="192"/>
      <c r="R29" s="172"/>
      <c r="S29" s="173"/>
      <c r="T29" s="174"/>
      <c r="AL29" s="133" t="s">
        <v>76</v>
      </c>
    </row>
    <row r="30" spans="1:38" s="11" customFormat="1" ht="20.100000000000001" customHeight="1" x14ac:dyDescent="0.15">
      <c r="A30" s="54">
        <f t="shared" si="0"/>
        <v>11</v>
      </c>
      <c r="B30" s="163"/>
      <c r="C30" s="164"/>
      <c r="D30" s="184"/>
      <c r="E30" s="185"/>
      <c r="F30" s="185"/>
      <c r="G30" s="185"/>
      <c r="H30" s="185"/>
      <c r="I30" s="185"/>
      <c r="J30" s="185"/>
      <c r="K30" s="185"/>
      <c r="L30" s="185"/>
      <c r="M30" s="168"/>
      <c r="N30" s="169"/>
      <c r="O30" s="97"/>
      <c r="P30" s="187"/>
      <c r="Q30" s="188"/>
      <c r="R30" s="172"/>
      <c r="S30" s="173"/>
      <c r="T30" s="174"/>
      <c r="AL30" s="42" t="s">
        <v>77</v>
      </c>
    </row>
    <row r="31" spans="1:38" s="11" customFormat="1" ht="20.100000000000001" customHeight="1" x14ac:dyDescent="0.15">
      <c r="A31" s="54">
        <f t="shared" si="0"/>
        <v>12</v>
      </c>
      <c r="B31" s="163"/>
      <c r="C31" s="164"/>
      <c r="D31" s="184"/>
      <c r="E31" s="185"/>
      <c r="F31" s="185"/>
      <c r="G31" s="185"/>
      <c r="H31" s="185"/>
      <c r="I31" s="185"/>
      <c r="J31" s="185"/>
      <c r="K31" s="185"/>
      <c r="L31" s="185"/>
      <c r="M31" s="168"/>
      <c r="N31" s="169"/>
      <c r="O31" s="97"/>
      <c r="P31" s="187"/>
      <c r="Q31" s="188"/>
      <c r="R31" s="172"/>
      <c r="S31" s="173"/>
      <c r="T31" s="174"/>
      <c r="AL31" s="44" t="s">
        <v>78</v>
      </c>
    </row>
    <row r="32" spans="1:38" s="11" customFormat="1" ht="20.100000000000001" customHeight="1" x14ac:dyDescent="0.15">
      <c r="A32" s="54">
        <f t="shared" si="0"/>
        <v>13</v>
      </c>
      <c r="B32" s="163"/>
      <c r="C32" s="164"/>
      <c r="D32" s="184"/>
      <c r="E32" s="185"/>
      <c r="F32" s="185"/>
      <c r="G32" s="185"/>
      <c r="H32" s="185"/>
      <c r="I32" s="185"/>
      <c r="J32" s="185"/>
      <c r="K32" s="185"/>
      <c r="L32" s="185"/>
      <c r="M32" s="168"/>
      <c r="N32" s="169"/>
      <c r="O32" s="97"/>
      <c r="P32" s="187"/>
      <c r="Q32" s="188"/>
      <c r="R32" s="172"/>
      <c r="S32" s="173"/>
      <c r="T32" s="174"/>
      <c r="AL32" s="44" t="s">
        <v>79</v>
      </c>
    </row>
    <row r="33" spans="1:38" s="11" customFormat="1" ht="20.100000000000001" customHeight="1" x14ac:dyDescent="0.15">
      <c r="A33" s="54">
        <f t="shared" si="0"/>
        <v>14</v>
      </c>
      <c r="B33" s="163"/>
      <c r="C33" s="164"/>
      <c r="D33" s="184"/>
      <c r="E33" s="185"/>
      <c r="F33" s="185"/>
      <c r="G33" s="185"/>
      <c r="H33" s="185"/>
      <c r="I33" s="185"/>
      <c r="J33" s="185"/>
      <c r="K33" s="185"/>
      <c r="L33" s="186"/>
      <c r="M33" s="168"/>
      <c r="N33" s="169"/>
      <c r="O33" s="97"/>
      <c r="P33" s="187"/>
      <c r="Q33" s="188"/>
      <c r="R33" s="172"/>
      <c r="S33" s="173"/>
      <c r="T33" s="174"/>
    </row>
    <row r="34" spans="1:38" s="11" customFormat="1" ht="20.100000000000001" customHeight="1" x14ac:dyDescent="0.15">
      <c r="A34" s="54">
        <f t="shared" si="0"/>
        <v>15</v>
      </c>
      <c r="B34" s="163"/>
      <c r="C34" s="164"/>
      <c r="D34" s="184"/>
      <c r="E34" s="185"/>
      <c r="F34" s="185"/>
      <c r="G34" s="185"/>
      <c r="H34" s="185"/>
      <c r="I34" s="185"/>
      <c r="J34" s="185"/>
      <c r="K34" s="185"/>
      <c r="L34" s="186"/>
      <c r="M34" s="168"/>
      <c r="N34" s="169"/>
      <c r="O34" s="97"/>
      <c r="P34" s="187"/>
      <c r="Q34" s="188"/>
      <c r="R34" s="172"/>
      <c r="S34" s="173"/>
      <c r="T34" s="174"/>
      <c r="AL34" s="21" t="s">
        <v>80</v>
      </c>
    </row>
    <row r="35" spans="1:38" s="11" customFormat="1" ht="19.899999999999999" customHeight="1" x14ac:dyDescent="0.15">
      <c r="A35" s="54">
        <f t="shared" si="0"/>
        <v>16</v>
      </c>
      <c r="B35" s="163"/>
      <c r="C35" s="164"/>
      <c r="D35" s="184"/>
      <c r="E35" s="185"/>
      <c r="F35" s="185"/>
      <c r="G35" s="185"/>
      <c r="H35" s="185"/>
      <c r="I35" s="185"/>
      <c r="J35" s="185"/>
      <c r="K35" s="185"/>
      <c r="L35" s="186"/>
      <c r="M35" s="168"/>
      <c r="N35" s="169"/>
      <c r="O35" s="97"/>
      <c r="P35" s="187"/>
      <c r="Q35" s="188"/>
      <c r="R35" s="172"/>
      <c r="S35" s="173"/>
      <c r="T35" s="174"/>
      <c r="AL35" s="134" t="s">
        <v>81</v>
      </c>
    </row>
    <row r="36" spans="1:38" s="11" customFormat="1" ht="19.899999999999999" customHeight="1" x14ac:dyDescent="0.15">
      <c r="A36" s="54">
        <v>17</v>
      </c>
      <c r="B36" s="168"/>
      <c r="C36" s="169"/>
      <c r="D36" s="53"/>
      <c r="E36" s="55"/>
      <c r="F36" s="55"/>
      <c r="G36" s="55"/>
      <c r="H36" s="55"/>
      <c r="I36" s="55"/>
      <c r="J36" s="55"/>
      <c r="K36" s="55"/>
      <c r="L36" s="98"/>
      <c r="M36" s="168"/>
      <c r="N36" s="169"/>
      <c r="O36" s="97"/>
      <c r="P36" s="187"/>
      <c r="Q36" s="188"/>
      <c r="R36" s="172"/>
      <c r="S36" s="173"/>
      <c r="T36" s="174"/>
      <c r="AL36" s="135" t="s">
        <v>82</v>
      </c>
    </row>
    <row r="37" spans="1:38" s="11" customFormat="1" ht="19.899999999999999" customHeight="1" x14ac:dyDescent="0.15">
      <c r="A37" s="54">
        <v>18</v>
      </c>
      <c r="B37" s="168"/>
      <c r="C37" s="169"/>
      <c r="D37" s="53"/>
      <c r="E37" s="55"/>
      <c r="F37" s="55"/>
      <c r="G37" s="55"/>
      <c r="H37" s="55"/>
      <c r="I37" s="55"/>
      <c r="J37" s="55"/>
      <c r="K37" s="55"/>
      <c r="L37" s="98"/>
      <c r="M37" s="168"/>
      <c r="N37" s="169"/>
      <c r="O37" s="97"/>
      <c r="P37" s="187"/>
      <c r="Q37" s="188"/>
      <c r="R37" s="172"/>
      <c r="S37" s="173"/>
      <c r="T37" s="174"/>
      <c r="AL37" s="135"/>
    </row>
    <row r="38" spans="1:38" s="11" customFormat="1" ht="20.100000000000001" customHeight="1" x14ac:dyDescent="0.15">
      <c r="A38" s="54">
        <v>19</v>
      </c>
      <c r="B38" s="163"/>
      <c r="C38" s="164"/>
      <c r="D38" s="184"/>
      <c r="E38" s="185"/>
      <c r="F38" s="185"/>
      <c r="G38" s="185"/>
      <c r="H38" s="185"/>
      <c r="I38" s="185"/>
      <c r="J38" s="185"/>
      <c r="K38" s="185"/>
      <c r="L38" s="186"/>
      <c r="M38" s="168"/>
      <c r="N38" s="169"/>
      <c r="O38" s="97"/>
      <c r="P38" s="187"/>
      <c r="Q38" s="188"/>
      <c r="R38" s="172"/>
      <c r="S38" s="173"/>
      <c r="T38" s="174"/>
      <c r="AL38" s="136" t="s">
        <v>83</v>
      </c>
    </row>
    <row r="39" spans="1:38" s="11" customFormat="1" ht="20.100000000000001" customHeight="1" x14ac:dyDescent="0.15">
      <c r="A39" s="54">
        <v>20</v>
      </c>
      <c r="B39" s="163"/>
      <c r="C39" s="164"/>
      <c r="D39" s="184"/>
      <c r="E39" s="185"/>
      <c r="F39" s="185"/>
      <c r="G39" s="185"/>
      <c r="H39" s="185"/>
      <c r="I39" s="185"/>
      <c r="J39" s="185"/>
      <c r="K39" s="185"/>
      <c r="L39" s="186"/>
      <c r="M39" s="168"/>
      <c r="N39" s="169"/>
      <c r="O39" s="97"/>
      <c r="P39" s="187"/>
      <c r="Q39" s="188"/>
      <c r="R39" s="172"/>
      <c r="S39" s="173"/>
      <c r="T39" s="174"/>
      <c r="AL39" s="137"/>
    </row>
    <row r="40" spans="1:38" s="11" customFormat="1" ht="20.100000000000001" customHeight="1" x14ac:dyDescent="0.15">
      <c r="A40" s="54">
        <f>+A39+1</f>
        <v>21</v>
      </c>
      <c r="B40" s="163"/>
      <c r="C40" s="164"/>
      <c r="D40" s="184"/>
      <c r="E40" s="185"/>
      <c r="F40" s="185"/>
      <c r="G40" s="185"/>
      <c r="H40" s="185"/>
      <c r="I40" s="185"/>
      <c r="J40" s="185"/>
      <c r="K40" s="185"/>
      <c r="L40" s="186"/>
      <c r="M40" s="168"/>
      <c r="N40" s="169"/>
      <c r="O40" s="97"/>
      <c r="P40" s="187"/>
      <c r="Q40" s="188"/>
      <c r="R40" s="172"/>
      <c r="S40" s="173"/>
      <c r="T40" s="174"/>
      <c r="AL40" s="135"/>
    </row>
    <row r="41" spans="1:38" s="11" customFormat="1" ht="20.100000000000001" customHeight="1" x14ac:dyDescent="0.2">
      <c r="A41" s="54">
        <f>+A40+1</f>
        <v>22</v>
      </c>
      <c r="B41" s="163"/>
      <c r="C41" s="164"/>
      <c r="D41" s="165"/>
      <c r="E41" s="166"/>
      <c r="F41" s="166"/>
      <c r="G41" s="166"/>
      <c r="H41" s="166"/>
      <c r="I41" s="166"/>
      <c r="J41" s="166"/>
      <c r="K41" s="166"/>
      <c r="L41" s="167"/>
      <c r="M41" s="168"/>
      <c r="N41" s="169"/>
      <c r="O41" s="97"/>
      <c r="P41" s="170"/>
      <c r="Q41" s="171"/>
      <c r="R41" s="172"/>
      <c r="S41" s="173"/>
      <c r="T41" s="174"/>
      <c r="AL41" s="138" t="s">
        <v>84</v>
      </c>
    </row>
    <row r="42" spans="1:38" s="11" customFormat="1" ht="20.100000000000001" customHeight="1" x14ac:dyDescent="0.15">
      <c r="A42" s="56" t="s">
        <v>85</v>
      </c>
      <c r="D42" s="175" t="s">
        <v>86</v>
      </c>
      <c r="E42" s="176"/>
      <c r="F42" s="176"/>
      <c r="G42" s="176"/>
      <c r="H42" s="176"/>
      <c r="I42" s="176"/>
      <c r="J42" s="176"/>
      <c r="K42" s="176"/>
      <c r="L42" s="176"/>
      <c r="M42" s="177" t="s">
        <v>87</v>
      </c>
      <c r="N42" s="178"/>
      <c r="O42" s="179"/>
      <c r="P42" s="179"/>
      <c r="Q42" s="180"/>
      <c r="R42" s="181">
        <f>SUM(R20:T41)</f>
        <v>8200</v>
      </c>
      <c r="S42" s="182"/>
      <c r="T42" s="183"/>
      <c r="AL42" s="139" t="s">
        <v>88</v>
      </c>
    </row>
    <row r="43" spans="1:38" s="12" customFormat="1" ht="15" customHeight="1" x14ac:dyDescent="0.15">
      <c r="H43" s="57"/>
      <c r="I43" s="63" t="s">
        <v>89</v>
      </c>
      <c r="J43" s="149" t="s">
        <v>2</v>
      </c>
      <c r="K43" s="149"/>
      <c r="AL43" s="140" t="s">
        <v>90</v>
      </c>
    </row>
    <row r="44" spans="1:38" s="13" customFormat="1" ht="15" customHeight="1" x14ac:dyDescent="0.15">
      <c r="A44" s="56"/>
      <c r="B44" s="58"/>
      <c r="D44" s="59"/>
      <c r="E44" s="150" t="s">
        <v>91</v>
      </c>
      <c r="F44" s="151"/>
      <c r="G44" s="12"/>
      <c r="H44" s="57"/>
      <c r="I44" s="99"/>
      <c r="J44" s="14"/>
      <c r="K44" s="12"/>
      <c r="L44" s="12"/>
      <c r="M44" s="59"/>
      <c r="N44" s="59"/>
      <c r="AL44" s="140" t="s">
        <v>92</v>
      </c>
    </row>
    <row r="45" spans="1:38" s="14" customFormat="1" ht="18" customHeight="1" x14ac:dyDescent="0.15">
      <c r="B45" s="60"/>
      <c r="E45" s="60"/>
      <c r="H45" s="61"/>
      <c r="I45" s="63" t="s">
        <v>93</v>
      </c>
      <c r="J45" s="100"/>
      <c r="K45" s="100"/>
      <c r="L45" s="12"/>
      <c r="M45" s="101" t="s">
        <v>94</v>
      </c>
      <c r="N45" s="102"/>
      <c r="O45" s="102"/>
      <c r="P45" s="102"/>
      <c r="Q45" s="102"/>
      <c r="R45" s="102"/>
      <c r="S45" s="102"/>
      <c r="T45" s="127"/>
    </row>
    <row r="46" spans="1:38" s="2" customFormat="1" ht="22.15" customHeight="1" x14ac:dyDescent="0.15">
      <c r="D46" s="14"/>
      <c r="H46" s="62"/>
      <c r="I46" s="63" t="s">
        <v>95</v>
      </c>
      <c r="J46" s="100"/>
      <c r="K46" s="100"/>
      <c r="L46" s="12"/>
      <c r="M46" s="103"/>
      <c r="N46" s="104" t="s">
        <v>96</v>
      </c>
      <c r="O46" s="104"/>
      <c r="P46" s="104"/>
      <c r="Q46" s="104"/>
      <c r="R46" s="104"/>
      <c r="S46" s="104"/>
      <c r="T46" s="128"/>
    </row>
    <row r="47" spans="1:38" s="2" customFormat="1" ht="19.899999999999999" customHeight="1" x14ac:dyDescent="0.15">
      <c r="A47" s="12"/>
      <c r="B47" s="12"/>
      <c r="C47" s="12"/>
      <c r="D47" s="14"/>
      <c r="E47" s="12"/>
      <c r="G47" s="63"/>
      <c r="H47" s="57"/>
      <c r="I47" s="63" t="s">
        <v>97</v>
      </c>
      <c r="J47" s="100"/>
      <c r="K47" s="100"/>
      <c r="M47" s="103"/>
      <c r="N47" s="152"/>
      <c r="O47" s="152"/>
      <c r="P47" s="152"/>
      <c r="Q47" s="152"/>
      <c r="R47" s="152"/>
      <c r="S47" s="152"/>
      <c r="T47" s="153"/>
    </row>
    <row r="48" spans="1:38" s="2" customFormat="1" ht="16.899999999999999" customHeight="1" x14ac:dyDescent="0.15">
      <c r="A48" s="13"/>
      <c r="B48" s="58"/>
      <c r="C48" s="13"/>
      <c r="D48" s="14"/>
      <c r="E48" s="58"/>
      <c r="F48" s="12"/>
      <c r="G48" s="12"/>
      <c r="H48" s="57"/>
      <c r="I48" s="63"/>
      <c r="J48" s="105"/>
      <c r="K48" s="105"/>
      <c r="M48" s="103"/>
      <c r="N48" s="154" t="s">
        <v>98</v>
      </c>
      <c r="O48" s="154"/>
      <c r="P48" s="154"/>
      <c r="Q48" s="154"/>
      <c r="R48" s="154"/>
      <c r="S48" s="154"/>
      <c r="T48" s="129"/>
    </row>
    <row r="49" spans="1:20" s="2" customFormat="1" ht="21" customHeight="1" x14ac:dyDescent="0.15">
      <c r="A49" s="13"/>
      <c r="B49" s="58"/>
      <c r="C49" s="13"/>
      <c r="D49" s="59"/>
      <c r="E49" s="58"/>
      <c r="F49" s="12"/>
      <c r="G49" s="12"/>
      <c r="H49" s="57"/>
      <c r="I49" s="63" t="s">
        <v>99</v>
      </c>
      <c r="J49" s="100"/>
      <c r="K49" s="100"/>
      <c r="M49" s="103"/>
      <c r="N49" s="106" t="s">
        <v>100</v>
      </c>
      <c r="O49" s="106"/>
      <c r="P49" s="107"/>
      <c r="Q49" s="107"/>
      <c r="R49" s="107"/>
      <c r="S49" s="107"/>
      <c r="T49" s="129"/>
    </row>
    <row r="50" spans="1:20" s="2" customFormat="1" ht="24" customHeight="1" x14ac:dyDescent="0.15">
      <c r="F50" s="14"/>
      <c r="H50" s="62"/>
      <c r="I50" s="63"/>
      <c r="J50" s="105"/>
      <c r="K50" s="105"/>
      <c r="M50" s="103"/>
      <c r="N50" s="106"/>
      <c r="O50" s="107"/>
      <c r="P50" s="107"/>
      <c r="Q50" s="107"/>
      <c r="R50" s="107"/>
      <c r="S50" s="107"/>
      <c r="T50" s="129"/>
    </row>
    <row r="51" spans="1:20" s="2" customFormat="1" ht="15" customHeight="1" x14ac:dyDescent="0.15">
      <c r="B51" s="64"/>
      <c r="C51" s="65"/>
      <c r="D51" s="66"/>
      <c r="E51" s="155" t="s">
        <v>101</v>
      </c>
      <c r="F51" s="155"/>
      <c r="G51" s="156"/>
      <c r="H51" s="57"/>
      <c r="I51" s="108" t="s">
        <v>102</v>
      </c>
      <c r="J51" s="159"/>
      <c r="K51" s="160"/>
      <c r="M51" s="103"/>
      <c r="N51" s="161"/>
      <c r="O51" s="161"/>
      <c r="P51" s="161"/>
      <c r="Q51" s="161"/>
      <c r="R51" s="161"/>
      <c r="S51" s="161"/>
      <c r="T51" s="162"/>
    </row>
    <row r="52" spans="1:20" s="2" customFormat="1" ht="15" customHeight="1" x14ac:dyDescent="0.15">
      <c r="A52" s="12"/>
      <c r="B52" s="12"/>
      <c r="C52" s="12"/>
      <c r="D52" s="12"/>
      <c r="E52" s="157"/>
      <c r="F52" s="157"/>
      <c r="G52" s="158"/>
      <c r="H52" s="12"/>
      <c r="M52" s="109"/>
      <c r="N52" s="110"/>
      <c r="O52" s="110"/>
      <c r="P52" s="110"/>
      <c r="Q52" s="110"/>
      <c r="R52" s="110"/>
      <c r="S52" s="110"/>
      <c r="T52" s="130"/>
    </row>
    <row r="53" spans="1:20" s="2" customFormat="1" ht="12" customHeight="1" x14ac:dyDescent="0.15">
      <c r="Q53" s="131"/>
    </row>
    <row r="54" spans="1:20" s="2" customFormat="1" ht="14.25" x14ac:dyDescent="0.15">
      <c r="A54" s="56"/>
      <c r="Q54" s="131" t="s">
        <v>103</v>
      </c>
    </row>
    <row r="55" spans="1:20" s="2" customFormat="1" x14ac:dyDescent="0.15">
      <c r="Q55" s="131"/>
    </row>
    <row r="56" spans="1:20" s="2" customFormat="1" x14ac:dyDescent="0.15">
      <c r="J56" s="111"/>
    </row>
    <row r="57" spans="1:20" s="2" customFormat="1" x14ac:dyDescent="0.15">
      <c r="N57" s="106" t="s">
        <v>104</v>
      </c>
    </row>
    <row r="58" spans="1:20" s="2" customFormat="1" x14ac:dyDescent="0.15"/>
    <row r="59" spans="1:20" s="2" customFormat="1" x14ac:dyDescent="0.15"/>
    <row r="60" spans="1:20" s="2" customFormat="1" x14ac:dyDescent="0.15"/>
    <row r="61" spans="1:20" s="2" customFormat="1" x14ac:dyDescent="0.15"/>
    <row r="62" spans="1:20" s="2" customFormat="1" x14ac:dyDescent="0.15"/>
    <row r="63" spans="1:20" s="2" customFormat="1" x14ac:dyDescent="0.15"/>
    <row r="64" spans="1:20" s="2" customFormat="1" x14ac:dyDescent="0.15"/>
    <row r="65" s="2" customFormat="1" x14ac:dyDescent="0.15"/>
    <row r="66" s="2" customFormat="1" x14ac:dyDescent="0.15"/>
    <row r="67" s="2" customFormat="1" x14ac:dyDescent="0.15"/>
    <row r="68" s="2" customFormat="1" x14ac:dyDescent="0.15"/>
    <row r="69" s="2" customFormat="1" x14ac:dyDescent="0.15"/>
    <row r="70" s="2" customFormat="1" x14ac:dyDescent="0.15"/>
    <row r="71" s="2" customFormat="1" x14ac:dyDescent="0.15"/>
    <row r="72" s="2" customFormat="1" x14ac:dyDescent="0.15"/>
    <row r="73" s="2" customFormat="1" x14ac:dyDescent="0.15"/>
    <row r="74" s="2" customFormat="1" x14ac:dyDescent="0.15"/>
    <row r="75" s="2" customFormat="1" x14ac:dyDescent="0.15"/>
    <row r="76" s="2" customFormat="1" x14ac:dyDescent="0.15"/>
    <row r="77" s="2" customFormat="1" x14ac:dyDescent="0.15"/>
    <row r="78" s="2" customFormat="1" x14ac:dyDescent="0.15"/>
    <row r="79" s="2" customFormat="1" x14ac:dyDescent="0.15"/>
    <row r="80" s="2" customFormat="1" x14ac:dyDescent="0.15"/>
    <row r="81" s="2" customFormat="1" x14ac:dyDescent="0.15"/>
    <row r="82" s="2" customFormat="1" x14ac:dyDescent="0.15"/>
    <row r="83" s="2" customFormat="1" x14ac:dyDescent="0.15"/>
    <row r="84" s="2" customFormat="1" x14ac:dyDescent="0.15"/>
    <row r="85" s="2" customFormat="1" x14ac:dyDescent="0.15"/>
    <row r="86" s="2" customFormat="1" x14ac:dyDescent="0.15"/>
    <row r="87" s="2" customFormat="1" x14ac:dyDescent="0.15"/>
    <row r="88" s="2" customFormat="1" x14ac:dyDescent="0.15"/>
    <row r="89" s="2" customFormat="1" x14ac:dyDescent="0.15"/>
    <row r="90" s="2" customFormat="1" x14ac:dyDescent="0.15"/>
    <row r="91" s="2" customFormat="1" x14ac:dyDescent="0.15"/>
    <row r="92" s="2" customFormat="1" x14ac:dyDescent="0.15"/>
    <row r="93" s="2" customFormat="1" x14ac:dyDescent="0.15"/>
    <row r="94" s="2" customFormat="1" x14ac:dyDescent="0.15"/>
    <row r="95" s="2" customFormat="1" x14ac:dyDescent="0.15"/>
    <row r="96" s="2" customFormat="1" x14ac:dyDescent="0.15"/>
    <row r="97" s="2" customFormat="1" x14ac:dyDescent="0.15"/>
    <row r="98" s="2" customFormat="1" x14ac:dyDescent="0.15"/>
    <row r="99" s="2" customFormat="1" x14ac:dyDescent="0.15"/>
    <row r="100" s="2" customFormat="1" x14ac:dyDescent="0.15"/>
    <row r="101" s="2" customFormat="1" x14ac:dyDescent="0.15"/>
    <row r="102" s="2" customFormat="1" x14ac:dyDescent="0.15"/>
    <row r="103" s="2" customFormat="1" x14ac:dyDescent="0.15"/>
    <row r="104" s="2" customFormat="1" x14ac:dyDescent="0.15"/>
    <row r="105" s="2" customFormat="1" x14ac:dyDescent="0.15"/>
    <row r="106" s="2" customFormat="1" x14ac:dyDescent="0.15"/>
    <row r="107" s="2" customFormat="1" x14ac:dyDescent="0.15"/>
    <row r="108" s="2" customFormat="1" x14ac:dyDescent="0.15"/>
    <row r="109" s="2" customFormat="1" x14ac:dyDescent="0.15"/>
    <row r="110" s="2" customFormat="1" x14ac:dyDescent="0.15"/>
    <row r="111" s="2" customFormat="1" x14ac:dyDescent="0.15"/>
    <row r="112" s="2" customFormat="1" x14ac:dyDescent="0.15"/>
    <row r="113" s="2" customFormat="1" x14ac:dyDescent="0.15"/>
    <row r="114" s="2" customFormat="1" x14ac:dyDescent="0.15"/>
    <row r="115" s="2" customFormat="1" x14ac:dyDescent="0.15"/>
    <row r="116" s="2" customFormat="1" x14ac:dyDescent="0.15"/>
    <row r="117" s="2" customFormat="1" x14ac:dyDescent="0.15"/>
    <row r="118" s="2" customFormat="1" x14ac:dyDescent="0.15"/>
    <row r="119" s="2" customFormat="1" x14ac:dyDescent="0.15"/>
    <row r="120" s="2" customFormat="1" x14ac:dyDescent="0.15"/>
    <row r="121" s="2" customFormat="1" x14ac:dyDescent="0.15"/>
    <row r="122" s="2" customFormat="1" x14ac:dyDescent="0.15"/>
    <row r="123" s="2" customFormat="1" x14ac:dyDescent="0.15"/>
    <row r="124" s="2" customFormat="1" x14ac:dyDescent="0.15"/>
    <row r="125" s="2" customFormat="1" x14ac:dyDescent="0.15"/>
    <row r="126" s="2" customFormat="1" x14ac:dyDescent="0.15"/>
    <row r="127" s="2" customFormat="1" x14ac:dyDescent="0.15"/>
    <row r="128" s="2" customFormat="1" x14ac:dyDescent="0.15"/>
    <row r="129" s="2" customFormat="1" x14ac:dyDescent="0.15"/>
    <row r="130" s="2" customFormat="1" x14ac:dyDescent="0.15"/>
    <row r="131" s="2" customFormat="1" x14ac:dyDescent="0.15"/>
    <row r="132" s="2" customFormat="1" x14ac:dyDescent="0.15"/>
    <row r="133" s="2" customFormat="1" x14ac:dyDescent="0.15"/>
    <row r="134" s="2" customFormat="1" x14ac:dyDescent="0.15"/>
    <row r="135" s="2" customFormat="1" x14ac:dyDescent="0.15"/>
    <row r="136" s="2" customFormat="1" x14ac:dyDescent="0.15"/>
    <row r="137" s="2" customFormat="1" x14ac:dyDescent="0.15"/>
    <row r="138" s="2" customFormat="1" x14ac:dyDescent="0.15"/>
    <row r="139" s="2" customFormat="1" x14ac:dyDescent="0.15"/>
    <row r="140" s="2" customFormat="1" x14ac:dyDescent="0.15"/>
    <row r="141" s="2" customFormat="1" x14ac:dyDescent="0.15"/>
    <row r="142" s="2" customFormat="1" x14ac:dyDescent="0.15"/>
    <row r="143" s="2" customFormat="1" x14ac:dyDescent="0.15"/>
    <row r="144" s="2" customFormat="1" x14ac:dyDescent="0.15"/>
    <row r="145" s="2" customFormat="1" x14ac:dyDescent="0.15"/>
    <row r="146" s="2" customFormat="1" x14ac:dyDescent="0.15"/>
    <row r="147" s="2" customFormat="1" x14ac:dyDescent="0.15"/>
    <row r="148" s="2" customFormat="1" x14ac:dyDescent="0.15"/>
    <row r="149" s="2" customFormat="1" x14ac:dyDescent="0.15"/>
    <row r="150" s="2" customFormat="1" x14ac:dyDescent="0.15"/>
    <row r="151" s="2" customFormat="1" x14ac:dyDescent="0.15"/>
    <row r="152" s="2" customFormat="1" x14ac:dyDescent="0.15"/>
    <row r="153" s="2" customFormat="1" x14ac:dyDescent="0.15"/>
    <row r="154" s="2" customFormat="1" x14ac:dyDescent="0.15"/>
    <row r="155" s="2" customFormat="1" x14ac:dyDescent="0.15"/>
    <row r="156" s="2" customFormat="1" x14ac:dyDescent="0.15"/>
    <row r="157" s="2" customFormat="1" x14ac:dyDescent="0.15"/>
    <row r="158" s="2" customFormat="1" x14ac:dyDescent="0.15"/>
    <row r="159" s="2" customFormat="1" x14ac:dyDescent="0.15"/>
    <row r="160" s="2" customFormat="1" x14ac:dyDescent="0.15"/>
    <row r="161" s="2" customFormat="1" x14ac:dyDescent="0.15"/>
    <row r="162" s="2" customFormat="1" x14ac:dyDescent="0.15"/>
    <row r="163" s="2" customFormat="1" x14ac:dyDescent="0.15"/>
    <row r="164" s="2" customFormat="1" x14ac:dyDescent="0.15"/>
    <row r="165" s="2" customFormat="1" x14ac:dyDescent="0.15"/>
    <row r="166" s="2" customFormat="1" x14ac:dyDescent="0.15"/>
    <row r="167" s="2" customFormat="1" x14ac:dyDescent="0.15"/>
    <row r="168" s="2" customFormat="1" x14ac:dyDescent="0.15"/>
    <row r="169" s="2" customFormat="1" x14ac:dyDescent="0.15"/>
    <row r="170" s="2" customFormat="1" x14ac:dyDescent="0.15"/>
    <row r="171" s="2" customFormat="1" x14ac:dyDescent="0.15"/>
    <row r="172" s="2" customFormat="1" x14ac:dyDescent="0.15"/>
    <row r="173" s="2" customFormat="1" x14ac:dyDescent="0.15"/>
    <row r="174" s="2" customFormat="1" x14ac:dyDescent="0.15"/>
    <row r="175" s="2" customFormat="1" x14ac:dyDescent="0.15"/>
    <row r="176" s="2" customFormat="1" x14ac:dyDescent="0.15"/>
    <row r="177" s="2" customFormat="1" x14ac:dyDescent="0.15"/>
    <row r="178" s="2" customFormat="1" x14ac:dyDescent="0.15"/>
    <row r="179" s="2" customFormat="1" x14ac:dyDescent="0.15"/>
    <row r="180" s="2" customFormat="1" x14ac:dyDescent="0.15"/>
    <row r="181" s="2" customFormat="1" x14ac:dyDescent="0.15"/>
    <row r="182" s="2" customFormat="1" x14ac:dyDescent="0.15"/>
    <row r="183" s="2" customFormat="1" x14ac:dyDescent="0.15"/>
    <row r="184" s="2" customFormat="1" x14ac:dyDescent="0.15"/>
    <row r="185" s="2" customFormat="1" x14ac:dyDescent="0.15"/>
    <row r="186" s="2" customFormat="1" x14ac:dyDescent="0.15"/>
    <row r="187" s="2" customFormat="1" x14ac:dyDescent="0.15"/>
    <row r="188" s="2" customFormat="1" x14ac:dyDescent="0.15"/>
    <row r="189" s="2" customFormat="1" x14ac:dyDescent="0.15"/>
    <row r="190" s="2" customFormat="1" x14ac:dyDescent="0.15"/>
    <row r="191" s="2" customFormat="1" x14ac:dyDescent="0.15"/>
    <row r="192" s="2" customFormat="1" x14ac:dyDescent="0.15"/>
    <row r="193" s="2" customFormat="1" x14ac:dyDescent="0.15"/>
    <row r="194" s="2" customFormat="1" x14ac:dyDescent="0.15"/>
    <row r="195" s="2" customFormat="1" x14ac:dyDescent="0.15"/>
    <row r="196" s="2" customFormat="1" x14ac:dyDescent="0.15"/>
    <row r="197" s="2" customFormat="1" x14ac:dyDescent="0.15"/>
    <row r="198" s="2" customFormat="1" x14ac:dyDescent="0.15"/>
    <row r="199" s="2" customFormat="1" x14ac:dyDescent="0.15"/>
    <row r="200" s="2" customFormat="1" x14ac:dyDescent="0.15"/>
    <row r="201" s="2" customFormat="1" x14ac:dyDescent="0.15"/>
    <row r="202" s="2" customFormat="1" x14ac:dyDescent="0.15"/>
    <row r="203" s="2" customFormat="1" x14ac:dyDescent="0.15"/>
    <row r="204" s="2" customFormat="1" x14ac:dyDescent="0.15"/>
    <row r="205" s="2" customFormat="1" x14ac:dyDescent="0.15"/>
    <row r="206" s="2" customFormat="1" x14ac:dyDescent="0.15"/>
    <row r="207" s="2" customFormat="1" x14ac:dyDescent="0.15"/>
    <row r="208" s="2" customFormat="1" x14ac:dyDescent="0.15"/>
    <row r="209" s="2" customFormat="1" x14ac:dyDescent="0.15"/>
    <row r="210" s="2" customFormat="1" x14ac:dyDescent="0.15"/>
    <row r="211" s="2" customFormat="1" x14ac:dyDescent="0.15"/>
    <row r="212" s="2" customFormat="1" x14ac:dyDescent="0.15"/>
    <row r="213" s="2" customFormat="1" x14ac:dyDescent="0.15"/>
    <row r="214" s="2" customFormat="1" x14ac:dyDescent="0.15"/>
    <row r="215" s="2" customFormat="1" x14ac:dyDescent="0.15"/>
    <row r="216" s="2" customFormat="1" x14ac:dyDescent="0.15"/>
    <row r="217" s="2" customFormat="1" x14ac:dyDescent="0.15"/>
    <row r="218" s="2" customFormat="1" x14ac:dyDescent="0.15"/>
    <row r="219" s="2" customFormat="1" x14ac:dyDescent="0.15"/>
    <row r="220" s="2" customFormat="1" x14ac:dyDescent="0.15"/>
    <row r="221" s="2" customFormat="1" x14ac:dyDescent="0.15"/>
    <row r="222" s="2" customFormat="1" x14ac:dyDescent="0.15"/>
    <row r="223" s="2" customFormat="1" x14ac:dyDescent="0.15"/>
    <row r="224" s="2" customFormat="1" x14ac:dyDescent="0.15"/>
    <row r="225" s="2" customFormat="1" x14ac:dyDescent="0.15"/>
    <row r="226" s="2" customFormat="1" x14ac:dyDescent="0.15"/>
    <row r="227" s="2" customFormat="1" x14ac:dyDescent="0.15"/>
    <row r="228" s="2" customFormat="1" x14ac:dyDescent="0.15"/>
    <row r="229" s="2" customFormat="1" x14ac:dyDescent="0.15"/>
    <row r="230" s="2" customFormat="1" x14ac:dyDescent="0.15"/>
    <row r="231" s="2" customFormat="1" x14ac:dyDescent="0.15"/>
    <row r="232" s="2" customFormat="1" x14ac:dyDescent="0.15"/>
    <row r="233" s="2" customFormat="1" x14ac:dyDescent="0.15"/>
    <row r="234" s="2" customFormat="1" x14ac:dyDescent="0.15"/>
    <row r="235" s="2" customFormat="1" x14ac:dyDescent="0.15"/>
    <row r="236" s="2" customFormat="1" x14ac:dyDescent="0.15"/>
    <row r="237" s="2" customFormat="1" x14ac:dyDescent="0.15"/>
    <row r="238" s="2" customFormat="1" x14ac:dyDescent="0.15"/>
    <row r="239" s="2" customFormat="1" x14ac:dyDescent="0.15"/>
  </sheetData>
  <mergeCells count="154">
    <mergeCell ref="S2:T2"/>
    <mergeCell ref="C3:D3"/>
    <mergeCell ref="S3:T3"/>
    <mergeCell ref="K4:L4"/>
    <mergeCell ref="N4:O4"/>
    <mergeCell ref="S4:T4"/>
    <mergeCell ref="P5:T5"/>
    <mergeCell ref="J6:K6"/>
    <mergeCell ref="R6:S6"/>
    <mergeCell ref="J7:K7"/>
    <mergeCell ref="N7:O7"/>
    <mergeCell ref="M11:N11"/>
    <mergeCell ref="P11:Q11"/>
    <mergeCell ref="J12:K12"/>
    <mergeCell ref="J13:K13"/>
    <mergeCell ref="M14:N14"/>
    <mergeCell ref="P14:Q14"/>
    <mergeCell ref="R14:T14"/>
    <mergeCell ref="M15:N15"/>
    <mergeCell ref="P15:Q15"/>
    <mergeCell ref="R15:T15"/>
    <mergeCell ref="A16:C16"/>
    <mergeCell ref="D16:T16"/>
    <mergeCell ref="O17:Q17"/>
    <mergeCell ref="R17:T17"/>
    <mergeCell ref="M18:N18"/>
    <mergeCell ref="P18:Q18"/>
    <mergeCell ref="R18:T18"/>
    <mergeCell ref="B19:C19"/>
    <mergeCell ref="D19:L19"/>
    <mergeCell ref="M19:N19"/>
    <mergeCell ref="P19:Q19"/>
    <mergeCell ref="B20:C20"/>
    <mergeCell ref="D20:L20"/>
    <mergeCell ref="M20:N20"/>
    <mergeCell ref="P20:Q20"/>
    <mergeCell ref="R20:T20"/>
    <mergeCell ref="B21:C21"/>
    <mergeCell ref="D21:L21"/>
    <mergeCell ref="M21:N21"/>
    <mergeCell ref="P21:Q21"/>
    <mergeCell ref="R21:T21"/>
    <mergeCell ref="B22:C22"/>
    <mergeCell ref="D22:L22"/>
    <mergeCell ref="M22:N22"/>
    <mergeCell ref="P22:Q22"/>
    <mergeCell ref="R22:T22"/>
    <mergeCell ref="B23:C23"/>
    <mergeCell ref="D23:L23"/>
    <mergeCell ref="M23:N23"/>
    <mergeCell ref="P23:Q23"/>
    <mergeCell ref="R23:T23"/>
    <mergeCell ref="B24:C24"/>
    <mergeCell ref="D24:L24"/>
    <mergeCell ref="M24:N24"/>
    <mergeCell ref="P24:Q24"/>
    <mergeCell ref="R24:T24"/>
    <mergeCell ref="AB24:AD24"/>
    <mergeCell ref="B25:C25"/>
    <mergeCell ref="D25:L25"/>
    <mergeCell ref="M25:N25"/>
    <mergeCell ref="P25:Q25"/>
    <mergeCell ref="R25:T25"/>
    <mergeCell ref="B26:C26"/>
    <mergeCell ref="D26:L26"/>
    <mergeCell ref="M26:N26"/>
    <mergeCell ref="P26:Q26"/>
    <mergeCell ref="R26:T26"/>
    <mergeCell ref="B27:C27"/>
    <mergeCell ref="D27:L27"/>
    <mergeCell ref="M27:N27"/>
    <mergeCell ref="P27:Q27"/>
    <mergeCell ref="R27:T27"/>
    <mergeCell ref="B28:C28"/>
    <mergeCell ref="D28:L28"/>
    <mergeCell ref="M28:N28"/>
    <mergeCell ref="P28:Q28"/>
    <mergeCell ref="R28:T28"/>
    <mergeCell ref="B29:C29"/>
    <mergeCell ref="D29:L29"/>
    <mergeCell ref="M29:N29"/>
    <mergeCell ref="P29:Q29"/>
    <mergeCell ref="R29:T29"/>
    <mergeCell ref="B30:C30"/>
    <mergeCell ref="D30:L30"/>
    <mergeCell ref="M30:N30"/>
    <mergeCell ref="P30:Q30"/>
    <mergeCell ref="R30:T30"/>
    <mergeCell ref="B31:C31"/>
    <mergeCell ref="D31:L31"/>
    <mergeCell ref="M31:N31"/>
    <mergeCell ref="P31:Q31"/>
    <mergeCell ref="R31:T31"/>
    <mergeCell ref="B32:C32"/>
    <mergeCell ref="D32:L32"/>
    <mergeCell ref="M32:N32"/>
    <mergeCell ref="P32:Q32"/>
    <mergeCell ref="R32:T32"/>
    <mergeCell ref="B33:C33"/>
    <mergeCell ref="D33:L33"/>
    <mergeCell ref="M33:N33"/>
    <mergeCell ref="P33:Q33"/>
    <mergeCell ref="R33:T33"/>
    <mergeCell ref="B34:C34"/>
    <mergeCell ref="D34:L34"/>
    <mergeCell ref="M34:N34"/>
    <mergeCell ref="P34:Q34"/>
    <mergeCell ref="R34:T34"/>
    <mergeCell ref="B35:C35"/>
    <mergeCell ref="D35:L35"/>
    <mergeCell ref="M35:N35"/>
    <mergeCell ref="P35:Q35"/>
    <mergeCell ref="R35:T35"/>
    <mergeCell ref="B36:C36"/>
    <mergeCell ref="M36:N36"/>
    <mergeCell ref="P36:Q36"/>
    <mergeCell ref="R36:T36"/>
    <mergeCell ref="D40:L40"/>
    <mergeCell ref="M40:N40"/>
    <mergeCell ref="P40:Q40"/>
    <mergeCell ref="R40:T40"/>
    <mergeCell ref="B37:C37"/>
    <mergeCell ref="M37:N37"/>
    <mergeCell ref="P37:Q37"/>
    <mergeCell ref="R37:T37"/>
    <mergeCell ref="B38:C38"/>
    <mergeCell ref="D38:L38"/>
    <mergeCell ref="M38:N38"/>
    <mergeCell ref="P38:Q38"/>
    <mergeCell ref="R38:T38"/>
    <mergeCell ref="E44:F44"/>
    <mergeCell ref="N47:T47"/>
    <mergeCell ref="N48:S48"/>
    <mergeCell ref="J51:K51"/>
    <mergeCell ref="N51:T51"/>
    <mergeCell ref="A17:A18"/>
    <mergeCell ref="B17:C18"/>
    <mergeCell ref="D17:L18"/>
    <mergeCell ref="E51:G52"/>
    <mergeCell ref="B41:C41"/>
    <mergeCell ref="D41:L41"/>
    <mergeCell ref="M41:N41"/>
    <mergeCell ref="P41:Q41"/>
    <mergeCell ref="R41:T41"/>
    <mergeCell ref="D42:L42"/>
    <mergeCell ref="M42:Q42"/>
    <mergeCell ref="R42:T42"/>
    <mergeCell ref="J43:K43"/>
    <mergeCell ref="B39:C39"/>
    <mergeCell ref="D39:L39"/>
    <mergeCell ref="M39:N39"/>
    <mergeCell ref="P39:Q39"/>
    <mergeCell ref="R39:T39"/>
    <mergeCell ref="B40:C40"/>
  </mergeCells>
  <dataValidations count="3">
    <dataValidation type="list" allowBlank="1" showInputMessage="1" showErrorMessage="1" sqref="K3:Q3" xr:uid="{00000000-0002-0000-0100-000001000000}">
      <formula1>$Y$19:$Y$25</formula1>
    </dataValidation>
    <dataValidation type="list" allowBlank="1" showInputMessage="1" showErrorMessage="1" sqref="G47" xr:uid="{00000000-0002-0000-0100-000004000000}">
      <formula1>sales</formula1>
    </dataValidation>
    <dataValidation type="list" allowBlank="1" showInputMessage="1" showErrorMessage="1" sqref="J48:K48 J50:K50" xr:uid="{00000000-0002-0000-0100-000005000000}">
      <formula1>$Z$19:$Z$21</formula1>
    </dataValidation>
  </dataValidations>
  <printOptions horizontalCentered="1" verticalCentered="1"/>
  <pageMargins left="0.27559055118110198" right="0.31496062992126" top="0.196850393700787" bottom="0.15748031496063" header="0.31496062992126" footer="0.23622047244094499"/>
  <pageSetup paperSize="9" scale="57" orientation="landscape" horizontalDpi="360" verticalDpi="360" r:id="rId1"/>
  <headerFooter alignWithMargins="0">
    <oddHeader>&amp;L&amp;"Arial,Italic"&amp;8Distribution:
Sales Dept. &amp; Sales Engineer&amp;"Arial,Regular"&amp;10</oddHeader>
    <oddFooter>&amp;C&amp;Z&amp;F</oddFooter>
  </headerFooter>
  <rowBreaks count="1" manualBreakCount="1">
    <brk id="54" max="19" man="1"/>
  </rowBreaks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Check Box 1">
              <controlPr defaultSize="0" autoPict="0">
                <anchor moveWithCells="1" sizeWithCells="1">
                  <from>
                    <xdr:col>9</xdr:col>
                    <xdr:colOff>0</xdr:colOff>
                    <xdr:row>3</xdr:row>
                    <xdr:rowOff>7620</xdr:rowOff>
                  </from>
                  <to>
                    <xdr:col>9</xdr:col>
                    <xdr:colOff>678180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Check Box 2">
              <controlPr defaultSize="0" autoPict="0">
                <anchor moveWithCells="1" sizeWithCells="1">
                  <from>
                    <xdr:col>9</xdr:col>
                    <xdr:colOff>1021080</xdr:colOff>
                    <xdr:row>3</xdr:row>
                    <xdr:rowOff>7620</xdr:rowOff>
                  </from>
                  <to>
                    <xdr:col>11</xdr:col>
                    <xdr:colOff>449580</xdr:colOff>
                    <xdr:row>3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Check Box 3">
              <controlPr locked="0" defaultSize="0" autoPict="0">
                <anchor moveWithCells="1" sizeWithCells="1">
                  <from>
                    <xdr:col>12</xdr:col>
                    <xdr:colOff>114300</xdr:colOff>
                    <xdr:row>3</xdr:row>
                    <xdr:rowOff>15240</xdr:rowOff>
                  </from>
                  <to>
                    <xdr:col>14</xdr:col>
                    <xdr:colOff>236220</xdr:colOff>
                    <xdr:row>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7" name="Check Box 4">
              <controlPr defaultSize="0" autoPict="0">
                <anchor moveWithCells="1" sizeWithCells="1">
                  <from>
                    <xdr:col>14</xdr:col>
                    <xdr:colOff>944880</xdr:colOff>
                    <xdr:row>3</xdr:row>
                    <xdr:rowOff>7620</xdr:rowOff>
                  </from>
                  <to>
                    <xdr:col>16</xdr:col>
                    <xdr:colOff>502920</xdr:colOff>
                    <xdr:row>3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8" name="Check Box 5">
              <controlPr defaultSize="0" autoPict="0">
                <anchor moveWithCells="1" sizeWithCells="1">
                  <from>
                    <xdr:col>14</xdr:col>
                    <xdr:colOff>0</xdr:colOff>
                    <xdr:row>12</xdr:row>
                    <xdr:rowOff>0</xdr:rowOff>
                  </from>
                  <to>
                    <xdr:col>14</xdr:col>
                    <xdr:colOff>617220</xdr:colOff>
                    <xdr:row>12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9" name="Check Box 6">
              <controlPr defaultSize="0" autoPict="0">
                <anchor moveWithCells="1" sizeWithCells="1">
                  <from>
                    <xdr:col>16</xdr:col>
                    <xdr:colOff>388620</xdr:colOff>
                    <xdr:row>12</xdr:row>
                    <xdr:rowOff>7620</xdr:rowOff>
                  </from>
                  <to>
                    <xdr:col>17</xdr:col>
                    <xdr:colOff>487680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10" name="Check Box 7">
              <controlPr defaultSize="0" autoPict="0">
                <anchor moveWithCells="1" sizeWithCells="1">
                  <from>
                    <xdr:col>14</xdr:col>
                    <xdr:colOff>990600</xdr:colOff>
                    <xdr:row>12</xdr:row>
                    <xdr:rowOff>7620</xdr:rowOff>
                  </from>
                  <to>
                    <xdr:col>16</xdr:col>
                    <xdr:colOff>68580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1" name="Check Box 8">
              <controlPr defaultSize="0" autoPict="0">
                <anchor moveWithCells="1" sizeWithCells="1">
                  <from>
                    <xdr:col>11</xdr:col>
                    <xdr:colOff>381000</xdr:colOff>
                    <xdr:row>12</xdr:row>
                    <xdr:rowOff>7620</xdr:rowOff>
                  </from>
                  <to>
                    <xdr:col>13</xdr:col>
                    <xdr:colOff>335280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2" name="Check Box 9">
              <controlPr defaultSize="0" autoPict="0">
                <anchor moveWithCells="1" sizeWithCells="1">
                  <from>
                    <xdr:col>18</xdr:col>
                    <xdr:colOff>7620</xdr:colOff>
                    <xdr:row>12</xdr:row>
                    <xdr:rowOff>7620</xdr:rowOff>
                  </from>
                  <to>
                    <xdr:col>19</xdr:col>
                    <xdr:colOff>350520</xdr:colOff>
                    <xdr:row>12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13" name="Check Box 10">
              <controlPr locked="0" defaultSize="0" autoPict="0">
                <anchor>
                  <from>
                    <xdr:col>0</xdr:col>
                    <xdr:colOff>274320</xdr:colOff>
                    <xdr:row>44</xdr:row>
                    <xdr:rowOff>160020</xdr:rowOff>
                  </from>
                  <to>
                    <xdr:col>2</xdr:col>
                    <xdr:colOff>2781300</xdr:colOff>
                    <xdr:row>45</xdr:row>
                    <xdr:rowOff>144780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4" name="Check Box 11">
              <controlPr locked="0" defaultSize="0" autoPict="0">
                <anchor>
                  <from>
                    <xdr:col>0</xdr:col>
                    <xdr:colOff>281940</xdr:colOff>
                    <xdr:row>45</xdr:row>
                    <xdr:rowOff>137160</xdr:rowOff>
                  </from>
                  <to>
                    <xdr:col>2</xdr:col>
                    <xdr:colOff>2811780</xdr:colOff>
                    <xdr:row>46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5" name="Check Box 12">
              <controlPr locked="0" defaultSize="0" autoPict="0">
                <anchor>
                  <from>
                    <xdr:col>0</xdr:col>
                    <xdr:colOff>274320</xdr:colOff>
                    <xdr:row>43</xdr:row>
                    <xdr:rowOff>129540</xdr:rowOff>
                  </from>
                  <to>
                    <xdr:col>2</xdr:col>
                    <xdr:colOff>3611880</xdr:colOff>
                    <xdr:row>45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6" name="Check Box 13">
              <controlPr locked="0" defaultSize="0" autoPict="0">
                <anchor>
                  <from>
                    <xdr:col>0</xdr:col>
                    <xdr:colOff>274320</xdr:colOff>
                    <xdr:row>46</xdr:row>
                    <xdr:rowOff>38100</xdr:rowOff>
                  </from>
                  <to>
                    <xdr:col>2</xdr:col>
                    <xdr:colOff>3002280</xdr:colOff>
                    <xdr:row>46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7" name="Check Box 14">
              <controlPr locked="0" defaultSize="0" autoPict="0">
                <anchor>
                  <from>
                    <xdr:col>0</xdr:col>
                    <xdr:colOff>274320</xdr:colOff>
                    <xdr:row>46</xdr:row>
                    <xdr:rowOff>228600</xdr:rowOff>
                  </from>
                  <to>
                    <xdr:col>2</xdr:col>
                    <xdr:colOff>2987040</xdr:colOff>
                    <xdr:row>47</xdr:row>
                    <xdr:rowOff>129540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8" name="Check Box 15">
              <controlPr locked="0" defaultSize="0" autoPict="0">
                <anchor>
                  <from>
                    <xdr:col>0</xdr:col>
                    <xdr:colOff>274320</xdr:colOff>
                    <xdr:row>47</xdr:row>
                    <xdr:rowOff>129540</xdr:rowOff>
                  </from>
                  <to>
                    <xdr:col>2</xdr:col>
                    <xdr:colOff>3649980</xdr:colOff>
                    <xdr:row>48</xdr:row>
                    <xdr:rowOff>106680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9" name="Check Box 16">
              <controlPr locked="0" defaultSize="0" autoPict="0">
                <anchor>
                  <from>
                    <xdr:col>0</xdr:col>
                    <xdr:colOff>274320</xdr:colOff>
                    <xdr:row>43</xdr:row>
                    <xdr:rowOff>7620</xdr:rowOff>
                  </from>
                  <to>
                    <xdr:col>2</xdr:col>
                    <xdr:colOff>2689860</xdr:colOff>
                    <xdr:row>44</xdr:row>
                    <xdr:rowOff>7620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data!$B$2:$B$6</xm:f>
          </x14:formula1>
          <xm:sqref>J3</xm:sqref>
        </x14:dataValidation>
        <x14:dataValidation type="list" allowBlank="1" showInputMessage="1" showErrorMessage="1" xr:uid="{00000000-0002-0000-0100-000002000000}">
          <x14:formula1>
            <xm:f>data!$A$2:$A$26</xm:f>
          </x14:formula1>
          <xm:sqref>C15</xm:sqref>
        </x14:dataValidation>
        <x14:dataValidation type="list" allowBlank="1" showInputMessage="1" showErrorMessage="1" xr:uid="{00000000-0002-0000-0100-000003000000}">
          <x14:formula1>
            <xm:f>data!$B$2:$B$7</xm:f>
          </x14:formula1>
          <xm:sqref>J43:K43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>
      <selection activeCell="B17" sqref="B17"/>
    </sheetView>
  </sheetViews>
  <sheetFormatPr defaultColWidth="9.03515625" defaultRowHeight="12.75" x14ac:dyDescent="0.15"/>
  <cols>
    <col min="1" max="1" width="40.859375" customWidth="1"/>
    <col min="2" max="2" width="21.44140625" customWidth="1"/>
  </cols>
  <sheetData>
    <row r="1" spans="1:2" x14ac:dyDescent="0.15">
      <c r="A1" s="8" t="s">
        <v>113</v>
      </c>
      <c r="B1" s="8" t="s">
        <v>55</v>
      </c>
    </row>
    <row r="2" spans="1:2" x14ac:dyDescent="0.15">
      <c r="A2" t="s">
        <v>114</v>
      </c>
      <c r="B2" t="s">
        <v>115</v>
      </c>
    </row>
    <row r="3" spans="1:2" x14ac:dyDescent="0.15">
      <c r="A3" t="s">
        <v>116</v>
      </c>
      <c r="B3" t="s">
        <v>117</v>
      </c>
    </row>
    <row r="4" spans="1:2" x14ac:dyDescent="0.15">
      <c r="A4" t="s">
        <v>118</v>
      </c>
      <c r="B4" t="s">
        <v>119</v>
      </c>
    </row>
    <row r="5" spans="1:2" x14ac:dyDescent="0.15">
      <c r="A5" t="s">
        <v>120</v>
      </c>
      <c r="B5" t="s">
        <v>121</v>
      </c>
    </row>
    <row r="6" spans="1:2" x14ac:dyDescent="0.15">
      <c r="A6" t="s">
        <v>122</v>
      </c>
      <c r="B6" t="s">
        <v>2</v>
      </c>
    </row>
    <row r="7" spans="1:2" x14ac:dyDescent="0.15">
      <c r="A7" t="s">
        <v>123</v>
      </c>
    </row>
    <row r="8" spans="1:2" x14ac:dyDescent="0.15">
      <c r="A8" t="s">
        <v>124</v>
      </c>
    </row>
    <row r="9" spans="1:2" x14ac:dyDescent="0.15">
      <c r="A9" t="s">
        <v>125</v>
      </c>
    </row>
    <row r="10" spans="1:2" x14ac:dyDescent="0.15">
      <c r="A10" t="s">
        <v>126</v>
      </c>
    </row>
    <row r="11" spans="1:2" x14ac:dyDescent="0.15">
      <c r="A11" t="s">
        <v>127</v>
      </c>
    </row>
    <row r="12" spans="1:2" x14ac:dyDescent="0.15">
      <c r="A12" t="s">
        <v>128</v>
      </c>
    </row>
    <row r="13" spans="1:2" x14ac:dyDescent="0.15">
      <c r="A13" t="s">
        <v>129</v>
      </c>
    </row>
    <row r="14" spans="1:2" x14ac:dyDescent="0.15">
      <c r="A14" t="s">
        <v>130</v>
      </c>
    </row>
  </sheetData>
  <pageMargins left="0.75" right="0.75" top="1" bottom="1" header="0.5" footer="0.5"/>
  <pageSetup orientation="portrait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0"/>
  <sheetViews>
    <sheetView workbookViewId="0">
      <selection activeCell="D26" sqref="D26"/>
    </sheetView>
  </sheetViews>
  <sheetFormatPr defaultColWidth="9.16796875" defaultRowHeight="12.75" x14ac:dyDescent="0.15"/>
  <cols>
    <col min="1" max="1" width="15.640625" style="2" customWidth="1"/>
    <col min="2" max="2" width="40.72265625" style="2" customWidth="1"/>
    <col min="3" max="3" width="9.16796875" style="2"/>
    <col min="4" max="4" width="15.640625" style="2" customWidth="1"/>
    <col min="5" max="5" width="40.72265625" style="2" customWidth="1"/>
    <col min="6" max="6" width="9.16796875" style="2"/>
    <col min="7" max="7" width="15.640625" style="2" customWidth="1"/>
    <col min="8" max="8" width="40.72265625" style="2" customWidth="1"/>
    <col min="9" max="16384" width="9.16796875" style="2"/>
  </cols>
  <sheetData>
    <row r="1" spans="1:8" x14ac:dyDescent="0.15">
      <c r="A1" s="1" t="s">
        <v>131</v>
      </c>
    </row>
    <row r="4" spans="1:8" s="1" customFormat="1" x14ac:dyDescent="0.15">
      <c r="A4" s="1" t="s">
        <v>132</v>
      </c>
      <c r="D4" s="1" t="s">
        <v>133</v>
      </c>
      <c r="G4" s="1" t="s">
        <v>134</v>
      </c>
    </row>
    <row r="6" spans="1:8" x14ac:dyDescent="0.15">
      <c r="A6" s="255" t="s">
        <v>135</v>
      </c>
      <c r="B6" s="256"/>
      <c r="D6" s="255" t="s">
        <v>136</v>
      </c>
      <c r="E6" s="256"/>
      <c r="G6" s="255" t="s">
        <v>137</v>
      </c>
      <c r="H6" s="256"/>
    </row>
    <row r="7" spans="1:8" x14ac:dyDescent="0.15">
      <c r="A7" s="3" t="s">
        <v>138</v>
      </c>
      <c r="B7" s="4" t="s">
        <v>139</v>
      </c>
      <c r="D7" s="3" t="s">
        <v>140</v>
      </c>
      <c r="E7" s="4" t="s">
        <v>141</v>
      </c>
      <c r="G7" s="3" t="s">
        <v>140</v>
      </c>
      <c r="H7" s="4" t="s">
        <v>141</v>
      </c>
    </row>
    <row r="8" spans="1:8" x14ac:dyDescent="0.15">
      <c r="A8" s="3" t="s">
        <v>142</v>
      </c>
      <c r="B8" s="5" t="s">
        <v>143</v>
      </c>
      <c r="D8" s="3" t="s">
        <v>142</v>
      </c>
      <c r="E8" s="5" t="s">
        <v>144</v>
      </c>
      <c r="G8" s="3" t="s">
        <v>142</v>
      </c>
      <c r="H8" s="5" t="s">
        <v>144</v>
      </c>
    </row>
    <row r="9" spans="1:8" x14ac:dyDescent="0.15">
      <c r="A9" s="3"/>
      <c r="B9" s="5"/>
      <c r="D9" s="3"/>
      <c r="E9" s="5" t="s">
        <v>145</v>
      </c>
      <c r="G9" s="3"/>
      <c r="H9" s="5" t="s">
        <v>145</v>
      </c>
    </row>
    <row r="10" spans="1:8" x14ac:dyDescent="0.15">
      <c r="A10" s="3" t="s">
        <v>146</v>
      </c>
      <c r="B10" s="5" t="s">
        <v>147</v>
      </c>
      <c r="D10" s="3" t="s">
        <v>146</v>
      </c>
      <c r="E10" s="5" t="s">
        <v>148</v>
      </c>
      <c r="G10" s="3" t="s">
        <v>146</v>
      </c>
      <c r="H10" s="5" t="s">
        <v>149</v>
      </c>
    </row>
    <row r="11" spans="1:8" x14ac:dyDescent="0.15">
      <c r="A11" s="3" t="s">
        <v>150</v>
      </c>
      <c r="B11" s="5" t="s">
        <v>151</v>
      </c>
      <c r="D11" s="3" t="s">
        <v>150</v>
      </c>
      <c r="E11" s="5" t="s">
        <v>152</v>
      </c>
      <c r="G11" s="3" t="s">
        <v>150</v>
      </c>
      <c r="H11" s="5" t="s">
        <v>153</v>
      </c>
    </row>
    <row r="12" spans="1:8" x14ac:dyDescent="0.15">
      <c r="A12" s="3" t="s">
        <v>154</v>
      </c>
      <c r="B12" s="5" t="s">
        <v>155</v>
      </c>
      <c r="D12" s="3" t="s">
        <v>154</v>
      </c>
      <c r="E12" s="5" t="s">
        <v>156</v>
      </c>
      <c r="G12" s="3" t="s">
        <v>154</v>
      </c>
      <c r="H12" s="5" t="s">
        <v>157</v>
      </c>
    </row>
    <row r="13" spans="1:8" x14ac:dyDescent="0.15">
      <c r="A13" s="3" t="s">
        <v>158</v>
      </c>
      <c r="B13" s="5" t="s">
        <v>159</v>
      </c>
      <c r="D13" s="3" t="s">
        <v>158</v>
      </c>
      <c r="E13" s="5" t="s">
        <v>160</v>
      </c>
      <c r="G13" s="3" t="s">
        <v>158</v>
      </c>
      <c r="H13" s="5"/>
    </row>
    <row r="14" spans="1:8" x14ac:dyDescent="0.15">
      <c r="A14" s="3" t="s">
        <v>154</v>
      </c>
      <c r="B14" s="5" t="s">
        <v>161</v>
      </c>
      <c r="D14" s="3" t="s">
        <v>150</v>
      </c>
      <c r="E14" s="5" t="s">
        <v>162</v>
      </c>
      <c r="G14" s="3" t="s">
        <v>150</v>
      </c>
      <c r="H14" s="5"/>
    </row>
    <row r="15" spans="1:8" x14ac:dyDescent="0.15">
      <c r="A15" s="3" t="s">
        <v>163</v>
      </c>
      <c r="B15" s="5" t="s">
        <v>164</v>
      </c>
      <c r="D15" s="3" t="s">
        <v>154</v>
      </c>
      <c r="E15" s="5" t="s">
        <v>157</v>
      </c>
      <c r="G15" s="3" t="s">
        <v>154</v>
      </c>
      <c r="H15" s="5"/>
    </row>
    <row r="16" spans="1:8" x14ac:dyDescent="0.15">
      <c r="A16" s="3"/>
      <c r="B16" s="5" t="s">
        <v>165</v>
      </c>
      <c r="D16" s="3" t="s">
        <v>166</v>
      </c>
      <c r="E16" s="5" t="s">
        <v>149</v>
      </c>
      <c r="G16" s="3" t="s">
        <v>166</v>
      </c>
      <c r="H16" s="5"/>
    </row>
    <row r="17" spans="1:8" x14ac:dyDescent="0.15">
      <c r="A17" s="3" t="s">
        <v>167</v>
      </c>
      <c r="B17" s="5"/>
      <c r="D17" s="3" t="s">
        <v>150</v>
      </c>
      <c r="E17" s="5" t="s">
        <v>153</v>
      </c>
      <c r="G17" s="3" t="s">
        <v>150</v>
      </c>
      <c r="H17" s="5"/>
    </row>
    <row r="18" spans="1:8" x14ac:dyDescent="0.15">
      <c r="A18" s="3" t="s">
        <v>168</v>
      </c>
      <c r="B18" s="5"/>
      <c r="D18" s="3" t="s">
        <v>154</v>
      </c>
      <c r="E18" s="5" t="s">
        <v>157</v>
      </c>
      <c r="G18" s="3" t="s">
        <v>154</v>
      </c>
      <c r="H18" s="5"/>
    </row>
    <row r="19" spans="1:8" x14ac:dyDescent="0.15">
      <c r="A19" s="3"/>
      <c r="B19" s="5"/>
      <c r="D19" s="3"/>
      <c r="E19" s="5"/>
      <c r="G19" s="3"/>
      <c r="H19" s="5"/>
    </row>
    <row r="20" spans="1:8" x14ac:dyDescent="0.15">
      <c r="A20" s="3"/>
      <c r="B20" s="5"/>
      <c r="D20" s="3" t="s">
        <v>163</v>
      </c>
      <c r="E20" s="5" t="s">
        <v>169</v>
      </c>
      <c r="G20" s="3" t="s">
        <v>163</v>
      </c>
      <c r="H20" s="5" t="s">
        <v>170</v>
      </c>
    </row>
    <row r="21" spans="1:8" x14ac:dyDescent="0.15">
      <c r="A21" s="3"/>
      <c r="B21" s="5"/>
      <c r="D21" s="3"/>
      <c r="E21" s="5" t="s">
        <v>171</v>
      </c>
      <c r="G21" s="3"/>
      <c r="H21" s="5"/>
    </row>
    <row r="22" spans="1:8" x14ac:dyDescent="0.15">
      <c r="A22" s="3"/>
      <c r="B22" s="5"/>
      <c r="D22" s="3"/>
      <c r="E22" s="5" t="s">
        <v>172</v>
      </c>
      <c r="G22" s="3"/>
      <c r="H22" s="5"/>
    </row>
    <row r="23" spans="1:8" x14ac:dyDescent="0.15">
      <c r="A23" s="3"/>
      <c r="B23" s="5"/>
      <c r="D23" s="3"/>
      <c r="E23" s="5" t="s">
        <v>173</v>
      </c>
      <c r="G23" s="3"/>
      <c r="H23" s="5"/>
    </row>
    <row r="24" spans="1:8" x14ac:dyDescent="0.15">
      <c r="A24" s="3"/>
      <c r="B24" s="5"/>
      <c r="D24" s="3"/>
      <c r="E24" s="5"/>
      <c r="G24" s="3"/>
      <c r="H24" s="5"/>
    </row>
    <row r="25" spans="1:8" x14ac:dyDescent="0.15">
      <c r="A25" s="3"/>
      <c r="B25" s="5"/>
      <c r="D25" s="3" t="s">
        <v>174</v>
      </c>
      <c r="E25" s="5"/>
      <c r="G25" s="3" t="s">
        <v>174</v>
      </c>
      <c r="H25" s="5"/>
    </row>
    <row r="26" spans="1:8" x14ac:dyDescent="0.15">
      <c r="A26" s="3"/>
      <c r="B26" s="5"/>
      <c r="D26" s="3"/>
      <c r="E26" s="5"/>
      <c r="G26" s="3"/>
      <c r="H26" s="5"/>
    </row>
    <row r="27" spans="1:8" x14ac:dyDescent="0.15">
      <c r="A27" s="3"/>
      <c r="B27" s="5"/>
      <c r="D27" s="3"/>
      <c r="E27" s="5"/>
      <c r="G27" s="3"/>
      <c r="H27" s="5"/>
    </row>
    <row r="28" spans="1:8" x14ac:dyDescent="0.15">
      <c r="A28" s="3"/>
      <c r="B28" s="5"/>
      <c r="D28" s="3"/>
      <c r="E28" s="5"/>
      <c r="G28" s="3"/>
      <c r="H28" s="5"/>
    </row>
    <row r="29" spans="1:8" x14ac:dyDescent="0.15">
      <c r="A29" s="3"/>
      <c r="B29" s="5"/>
      <c r="D29" s="3"/>
      <c r="E29" s="5"/>
      <c r="G29" s="3"/>
      <c r="H29" s="5"/>
    </row>
    <row r="30" spans="1:8" x14ac:dyDescent="0.15">
      <c r="A30" s="6"/>
      <c r="B30" s="7"/>
      <c r="D30" s="6"/>
      <c r="E30" s="7"/>
      <c r="G30" s="6"/>
      <c r="H30" s="7"/>
    </row>
  </sheetData>
  <mergeCells count="3">
    <mergeCell ref="A6:B6"/>
    <mergeCell ref="D6:E6"/>
    <mergeCell ref="G6:H6"/>
  </mergeCells>
  <pageMargins left="0.21" right="0.18" top="1" bottom="1" header="0.5" footer="0.5"/>
  <pageSetup paperSize="9" scale="70" orientation="landscape" horizontalDpi="1200" verticalDpi="1200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ColWidth="9.03515625" defaultRowHeight="12.75" x14ac:dyDescent="0.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CDCC</vt:lpstr>
      <vt:lpstr>JAMES SERRANO</vt:lpstr>
      <vt:lpstr>SALES WORK SHEET FORM (2)</vt:lpstr>
      <vt:lpstr>data</vt:lpstr>
      <vt:lpstr>Sheet1</vt:lpstr>
      <vt:lpstr>Sheet2</vt:lpstr>
      <vt:lpstr>CDCC!Print_Area</vt:lpstr>
      <vt:lpstr>JAMES SERRANO!Print_Area</vt:lpstr>
      <vt:lpstr>SALES WORK SHEET FORM (2)!Print_Area</vt:lpstr>
      <vt:lpstr>Sheet1!Print_Area</vt:lpstr>
      <vt:lpstr>sales</vt:lpstr>
      <vt:lpstr>segment</vt:lpstr>
    </vt:vector>
  </TitlesOfParts>
  <Company>Cummins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fp912</dc:creator>
  <cp:lastModifiedBy>Lenovo</cp:lastModifiedBy>
  <cp:lastPrinted>2026-07-08T08:49:01Z</cp:lastPrinted>
  <dcterms:created xsi:type="dcterms:W3CDTF">2005-04-23T06:06:00Z</dcterms:created>
  <dcterms:modified xsi:type="dcterms:W3CDTF">2026-07-08T09:59:25Z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0FA3D975C84644CDB29B0C8B2935DF05_13</vt:lpwstr>
  </property>
  <property fmtid="{D5CDD505-2E9C-101B-9397-08002B2CF9AE}" pid="3" name="KSOProductBuildVer">
    <vt:lpwstr>1033-12.2.0.23196</vt:lpwstr>
  </property>
</Properties>
</file>